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RZS_Repository\基板\"/>
    </mc:Choice>
  </mc:AlternateContent>
  <xr:revisionPtr revIDLastSave="0" documentId="13_ncr:1_{4264E5EE-169F-4657-94A9-D4BF91930DD7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总览" sheetId="1" r:id="rId1"/>
    <sheet name="外部接口CN7-CN12" sheetId="2" r:id="rId2"/>
    <sheet name="板卡排针H1-H20" sheetId="3" r:id="rId3"/>
    <sheet name="VCU_IO速查" sheetId="4" r:id="rId4"/>
    <sheet name="待确认与测试" sheetId="5" r:id="rId5"/>
    <sheet name="依据与器件手册" sheetId="6" r:id="rId6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H5" i="1"/>
  <c r="F5" i="1"/>
  <c r="D5" i="1"/>
  <c r="B5" i="1"/>
  <c r="D6" i="1" l="1"/>
</calcChain>
</file>

<file path=xl/sharedStrings.xml><?xml version="1.0" encoding="utf-8"?>
<sst xmlns="http://schemas.openxmlformats.org/spreadsheetml/2006/main" count="1657" uniqueCount="891">
  <si>
    <t>基板全部接口特性与定义 2026-10-16校订</t>
  </si>
  <si>
    <t>连接依据：网表/base.tel（2026-10-04），优先于基板/base.tel旧副本。CN7.11/13/14为ROTATE_OUT/IN/VCU并接K15，不是GND；CN8.6仍为GND。EBS安全回路12V、主支路24V，RES_ERROR健康12V、故障0V。</t>
  </si>
  <si>
    <t>统计项</t>
  </si>
  <si>
    <t>数值</t>
  </si>
  <si>
    <t>外部连接器针脚</t>
  </si>
  <si>
    <t>板卡排针针脚</t>
  </si>
  <si>
    <t>外部NC/预留未接</t>
  </si>
  <si>
    <t>外部悬空单节点</t>
  </si>
  <si>
    <t>正常接口</t>
  </si>
  <si>
    <t>待系统/台架/设计确认</t>
  </si>
  <si>
    <t>PMOS高边输出</t>
  </si>
  <si>
    <t>错误灯低边继电器输出</t>
  </si>
  <si>
    <t>使用规则</t>
  </si>
  <si>
    <t>内容</t>
  </si>
  <si>
    <t>关键电气结构</t>
  </si>
  <si>
    <t>开路含义</t>
  </si>
  <si>
    <t>继电器触点或MOS关闭后的开路不是固定0V，除非有明确下拉或外部负载。</t>
  </si>
  <si>
    <t>G5Q针脚</t>
  </si>
  <si>
    <t>G5Q-14底视图：1/5线圈，2公共端COM，3常开NO，4常闭NC。</t>
  </si>
  <si>
    <t>错误灯输出</t>
  </si>
  <si>
    <t>K12/K13/K14均使用常开触点拉低外部灯；K12由CN7.16控制，H17.3 R_E_LED为锁存板冗余接口，按设计未使用。</t>
  </si>
  <si>
    <t>常开负载输出</t>
  </si>
  <si>
    <t>RUN、DI8、制动灯、ASSI和蜂鸣器均使用2–3常开触点：继电器释放时输出开路，线圈吸合后才接通12V或GND。</t>
  </si>
  <si>
    <t>光耦隔离</t>
  </si>
  <si>
    <t>U15/U19/U20输入LED阴极和输出发射极共用GND，因此只作电平转换/缓冲，不构成电气隔离。</t>
  </si>
  <si>
    <t>PMOS高边</t>
  </si>
  <si>
    <t>24V状态仅控制光耦；负载能量来自CN8.15的12V，AOD4185将12V送到输出。</t>
  </si>
  <si>
    <t>模拟输入</t>
  </si>
  <si>
    <t>OIL/CURRENT/V_BATTERY/V_CONTROLLER均为低压模拟量，严禁接12/24V或牵引高压。</t>
  </si>
  <si>
    <t>安全回路</t>
  </si>
  <si>
    <t>SCOUT、SDC、ISDC/OSDC属于安全回路/触点信号，不能按普通数字I/O理解。</t>
  </si>
  <si>
    <t>当前必须冻结的定义</t>
  </si>
  <si>
    <t>现状</t>
  </si>
  <si>
    <t>风险</t>
  </si>
  <si>
    <t>需要的输入</t>
  </si>
  <si>
    <t>责任对象</t>
  </si>
  <si>
    <t>验证方式</t>
  </si>
  <si>
    <t>文档输出</t>
  </si>
  <si>
    <t>状态</t>
  </si>
  <si>
    <t>三路PMOS输出额定电流</t>
  </si>
  <si>
    <t>器件选型和逻辑已完成，负载未知</t>
  </si>
  <si>
    <t>线宽、温升、连接器和保险无法定额</t>
  </si>
  <si>
    <t>持续电流、浪涌电流、负载类型</t>
  </si>
  <si>
    <t>系统/硬件</t>
  </si>
  <si>
    <t>满载与堵转/浪涌测试</t>
  </si>
  <si>
    <t>接口额定表、保险表</t>
  </si>
  <si>
    <t>待系统确认</t>
  </si>
  <si>
    <t>EBS_CHECK/VCU_FB极性</t>
  </si>
  <si>
    <t>基板直通EBS板</t>
  </si>
  <si>
    <t>VCU软件可能反向解释</t>
  </si>
  <si>
    <t>EBS全部工作/故障状态</t>
  </si>
  <si>
    <t>EBS/软件</t>
  </si>
  <si>
    <t>台架真值表</t>
  </si>
  <si>
    <t>VCU I/O表</t>
  </si>
  <si>
    <t>待台架确认</t>
  </si>
  <si>
    <t>AS_PWR参数</t>
  </si>
  <si>
    <t>基板无降压器</t>
  </si>
  <si>
    <t>OSDC无电源或负载能力不明确</t>
  </si>
  <si>
    <t>外部电压、电流、地和保险</t>
  </si>
  <si>
    <t>系统</t>
  </si>
  <si>
    <t>带载开关测试</t>
  </si>
  <si>
    <t>线束图</t>
  </si>
  <si>
    <t>外部连接器 CN7–CN12 全部接口特性与定义（v7）</t>
  </si>
  <si>
    <t>连接关系以网表/base.tel（2026-10-04）为准。CN7.11/13/14为ROTATE_OUT/IN/VCU接K15，不是GND；CN8.6仍为GND。G5Q 2为COM、3为NO、4为NC；K15引脚与额定需按实际器件核对。</t>
  </si>
  <si>
    <t>连接器</t>
  </si>
  <si>
    <t>针脚</t>
  </si>
  <si>
    <t>信号名</t>
  </si>
  <si>
    <t>方向</t>
  </si>
  <si>
    <t>类别/结构</t>
  </si>
  <si>
    <t>标称电压/电流</t>
  </si>
  <si>
    <t>有效逻辑/工作条件</t>
  </si>
  <si>
    <t>无效/掉电/断线状态</t>
  </si>
  <si>
    <t>内部连接与处理</t>
  </si>
  <si>
    <t>外部接线/负载要求</t>
  </si>
  <si>
    <t>最新网表节点</t>
  </si>
  <si>
    <t>备注</t>
  </si>
  <si>
    <t>CN7</t>
  </si>
  <si>
    <t>LED_IMD_ERROR</t>
  </si>
  <si>
    <t>输出</t>
  </si>
  <si>
    <t>继电器常开低边触点</t>
  </si>
  <si>
    <t>开路/接GND</t>
  </si>
  <si>
    <t>IMD_LED或LED_IMD_ERROR_VCU为高时，K13吸合，2–3常开触点闭合，输出拉至GND</t>
  </si>
  <si>
    <t>两路均低、基板12V掉电或继电器释放时开路</t>
  </si>
  <si>
    <t>H17.1与CN7.20经肖特基二极管或联→U17低边驱动→K13；K13.2=GND(COM)，K13.3=NO</t>
  </si>
  <si>
    <t>外部错误灯/负载另一端接匹配正电源；不要把开路理解为0V</t>
  </si>
  <si>
    <t>CN7.1 / K13.3</t>
  </si>
  <si>
    <t>正常</t>
  </si>
  <si>
    <t>G5Q触点器件额定不等于基板接口额定，最终电流受连接器、铜皮和保险限制</t>
  </si>
  <si>
    <t>LED_BMS_ERROR</t>
  </si>
  <si>
    <t>BMS_LED或LED_BMS_ERROR_VCU为高时，K14吸合，2–3触点闭合并拉低输出</t>
  </si>
  <si>
    <t>两路均低或掉电时开路</t>
  </si>
  <si>
    <t>H17.2与CN7.19二极管或联→U18→K14；K14.2=GND(COM)，K14.3=NO</t>
  </si>
  <si>
    <t>外部BMS错误灯阴极/低边负载</t>
  </si>
  <si>
    <t>CN7.2 / K14.3</t>
  </si>
  <si>
    <t>RUN</t>
  </si>
  <si>
    <t>继电器常开高边触点</t>
  </si>
  <si>
    <t>开路/约12V</t>
  </si>
  <si>
    <t>RUN_VCU为约12V高电平时K2吸合，K2.2(COM)与K2.3(NO/12V)闭合，RUN输出约12V</t>
  </si>
  <si>
    <t>RUN_VCU低或开路、线圈掉电时K2释放，RUN开路；基板12V掉电时无电压</t>
  </si>
  <si>
    <t>K2.3=12V(NO)，K2.2=RUN(COM)，K2.4=NC未使用</t>
  </si>
  <si>
    <t>后级输入需有明确下拉；这是高电平接通输出的接口</t>
  </si>
  <si>
    <t>CN7.3 / K2.2</t>
  </si>
  <si>
    <t>需系统确认</t>
  </si>
  <si>
    <t>确认RUN控制高、掉线开路是否符合系统失效安全意图</t>
  </si>
  <si>
    <t>DI8</t>
  </si>
  <si>
    <t>DI8_VCU为约12V高电平时K5吸合，DI8输出约12V</t>
  </si>
  <si>
    <t>DI8_VCU低或开路、线圈掉电时DI8开路</t>
  </si>
  <si>
    <t>K5.3=12V(NO)，K5.2=DI8(COM)，K5.4=NC未使用</t>
  </si>
  <si>
    <t>后级需下拉；控制高表示接通DI8输出</t>
  </si>
  <si>
    <t>CN7.4 / K5.2</t>
  </si>
  <si>
    <t>LED_EBS_ERROR</t>
  </si>
  <si>
    <t>继电器常开低边触点（VCU命令）</t>
  </si>
  <si>
    <t>LED_EBS_ERROR_VCU为高时，K12吸合，2–3常开触点闭合，输出拉至GND</t>
  </si>
  <si>
    <t>命令低/开路、基板12V掉电或继电器释放时开路</t>
  </si>
  <si>
    <t>CN7.16→D26→U16低边驱动K12；K12.2=GND(COM)，K12.3=NO；H17.3 R_E_LED为锁存板冗余接口，按设计未使用</t>
  </si>
  <si>
    <t>外部EBS/RES错误灯阴极/低边负载</t>
  </si>
  <si>
    <t>CN7.5 / K12.3</t>
  </si>
  <si>
    <t>R_E_LED为锁存板设计冗余，无实际用途</t>
  </si>
  <si>
    <t>R2D_BUZZER</t>
  </si>
  <si>
    <t>R2D_BUZZER_VCU为约12V高电平时K7吸合，K7.2(COM)与K7.3(NO/GND)闭合，输出接GND</t>
  </si>
  <si>
    <t>命令低或开路、线圈掉电时输出开路</t>
  </si>
  <si>
    <t>K7.3=GND(NO)，K7.2=输出(COM)，K7.4=NC未使用</t>
  </si>
  <si>
    <t>蜂鸣器另一端接匹配正电源；高电平命令用于开启蜂鸣器</t>
  </si>
  <si>
    <t>CN7.6 / K7.2</t>
  </si>
  <si>
    <t>LED_BRAKE</t>
  </si>
  <si>
    <t>LED_BRAKE_VCU拉低时K6线圈吸合，K6.2(COM)与K6.3(NO/12V)闭合，输出约12V</t>
  </si>
  <si>
    <t>VCU高或开路、线圈掉电时输出开路</t>
  </si>
  <si>
    <t>K6.3=12V(NO)，K6.2=输出(COM)，K6.4=NC未使用；线圈高端接12V，VCU端灌电流</t>
  </si>
  <si>
    <t>负载另一端接GND；VCU低电平开启制动灯输出</t>
  </si>
  <si>
    <t>CN7.7 / K6.2</t>
  </si>
  <si>
    <t>ASSI_Y</t>
  </si>
  <si>
    <t>ASSI_Y_VCU拉低时K8吸合，输出约12V</t>
  </si>
  <si>
    <t>K8.3=12V(NO)，K8.2=输出(COM)，K8.4=NC未使用</t>
  </si>
  <si>
    <t>黄色ASSI灯高边输出；VCU低电平开启</t>
  </si>
  <si>
    <t>CN7.8 / K8.2</t>
  </si>
  <si>
    <t>ASSI_B</t>
  </si>
  <si>
    <t>ASSI_B_VCU拉低时K11吸合，输出约12V</t>
  </si>
  <si>
    <t>K11.3=12V(NO)，K11.2=输出(COM)，K11.4=NC未使用</t>
  </si>
  <si>
    <t>蓝色ASSI灯高边输出；VCU低电平开启</t>
  </si>
  <si>
    <t>CN7.9 / K11.2</t>
  </si>
  <si>
    <t>GND</t>
  </si>
  <si>
    <t>电源参考</t>
  </si>
  <si>
    <t>低压地</t>
  </si>
  <si>
    <t>0V</t>
  </si>
  <si>
    <t>—</t>
  </si>
  <si>
    <t>公共低压GND</t>
  </si>
  <si>
    <t>与CN8.17及各板卡GND共网</t>
  </si>
  <si>
    <t>GND 公共低压地；完整节点见网表/base.tel</t>
  </si>
  <si>
    <t>ROTATE_OUT</t>
  </si>
  <si>
    <t>接口方向按最终执行器定义核定</t>
  </si>
  <si>
    <t>K15转向继电器接口</t>
  </si>
  <si>
    <t>触点额定/线圈电压待核定</t>
  </si>
  <si>
    <t>连接关系以2026-10-04网表/base.tel为准</t>
  </si>
  <si>
    <t>不再作为GND；工作及失电状态待核对</t>
  </si>
  <si>
    <t>CN7.11直连K15.4</t>
  </si>
  <si>
    <t>禁止按旧表接地；核对K15型号/引脚/实际负载</t>
  </si>
  <si>
    <t>CN7.11 / K15.4</t>
  </si>
  <si>
    <t>新网表已接入，功能额定待确认</t>
  </si>
  <si>
    <t>覆盖2026-07-31旧表GND定义</t>
  </si>
  <si>
    <t>EMERGENCY_BUZZER</t>
  </si>
  <si>
    <t>EMERGENCY_BUZZER_VCU拉低时K9吸合，K9.2(COM)与K9.3(NO/GND)闭合，输出接GND</t>
  </si>
  <si>
    <t>K9.3=GND(NO)，K9.2=输出(COM)，K9.4=NC未使用；线圈高端12V，VCU灌电流</t>
  </si>
  <si>
    <t>蜂鸣器另一端接匹配正电源；VCU低电平开启</t>
  </si>
  <si>
    <t>CN7.12 / K9.2</t>
  </si>
  <si>
    <t>ROTATE_IN</t>
  </si>
  <si>
    <t>CN7.13直连K15.3</t>
  </si>
  <si>
    <t>CN7.13 / K15.3</t>
  </si>
  <si>
    <t>ROTATE_VCU</t>
  </si>
  <si>
    <t>CN7.14直连K15.2</t>
  </si>
  <si>
    <t>CN7.14 / K15.2</t>
  </si>
  <si>
    <t>R2D_BUZZER_VCU</t>
  </si>
  <si>
    <t>输入</t>
  </si>
  <si>
    <t>12V源电流型线圈控制</t>
  </si>
  <si>
    <t>12V高有效，约33mA</t>
  </si>
  <si>
    <t>输入约12V时K7吸合，R2D_BUZZER通过2–3常开触点接GND并开启</t>
  </si>
  <si>
    <t>0V/开路时K7释放，R2D_BUZZER开路</t>
  </si>
  <si>
    <t>直接驱动G5Q-14-DC12线圈；D9续流</t>
  </si>
  <si>
    <t>VCU输出需能源出约33mA，不是高阻数字输入</t>
  </si>
  <si>
    <t>CN7.15 / D9.1 / K7.5</t>
  </si>
  <si>
    <t>LED_EBS_ERROR_VCU</t>
  </si>
  <si>
    <t>12V高阻逻辑命令</t>
  </si>
  <si>
    <t>12V高有效，稳态约0.1mA</t>
  </si>
  <si>
    <t>高电平经D26使U16导通，K12吸合，LED_EBS_ERROR输出拉低</t>
  </si>
  <si>
    <t>低/开路时R17=100k下拉，K12释放</t>
  </si>
  <si>
    <t>CN7.16→D26→U16 Gate；R17=100k下拉；U16低边驱动K12线圈</t>
  </si>
  <si>
    <t>允许12V逻辑；必须与基板GND共地</t>
  </si>
  <si>
    <t>CN7.16 / D26.2</t>
  </si>
  <si>
    <t>H17.3 R_E_LED为锁存板冗余接口，按设计未使用</t>
  </si>
  <si>
    <t>DI8_VCU</t>
  </si>
  <si>
    <t>高电平使K5吸合并接通DI8的12V输出</t>
  </si>
  <si>
    <t>0V/开路时K5释放，DI8开路</t>
  </si>
  <si>
    <t>直接驱动G5Q线圈；D16续流</t>
  </si>
  <si>
    <t>VCU需源出约33mA；逻辑为高电平开启</t>
  </si>
  <si>
    <t>CN7.17 / D16.1 / K5.5</t>
  </si>
  <si>
    <t>RUN_VCU</t>
  </si>
  <si>
    <t>高电平使K2吸合并接通RUN的12V输出</t>
  </si>
  <si>
    <t>0V/开路时K2释放，RUN开路</t>
  </si>
  <si>
    <t>直接驱动G5Q线圈；D17续流</t>
  </si>
  <si>
    <t>CN7.18 / D17.1 / K2.5</t>
  </si>
  <si>
    <t>LED_BMS_ERROR_VCU</t>
  </si>
  <si>
    <t>高电平与BMS_LED作OR，驱动K14吸合</t>
  </si>
  <si>
    <t>低/开路时R19下拉，硬件BMS_LED仍可触发</t>
  </si>
  <si>
    <t>D31→U18 Gate，R19=100k下拉</t>
  </si>
  <si>
    <t>需与基板GND共地</t>
  </si>
  <si>
    <t>CN7.19 / D31.2</t>
  </si>
  <si>
    <t>LED_IMD_ERROR_VCU</t>
  </si>
  <si>
    <t>高电平与IMD_LED作OR，驱动K13吸合</t>
  </si>
  <si>
    <t>低/开路时R18下拉，硬件IMD_LED仍可触发</t>
  </si>
  <si>
    <t>D29→U17 Gate，R18=100k下拉</t>
  </si>
  <si>
    <t>CN7.20 / D29.2</t>
  </si>
  <si>
    <t>CN8</t>
  </si>
  <si>
    <t>IMD_RESET</t>
  </si>
  <si>
    <t>外部直通 + 10k上拉偏置</t>
  </si>
  <si>
    <t>约4.7V默认高；低脉冲有效；外部12V经10k约0.73mA</t>
  </si>
  <si>
    <t>外部拉低时复位IMD锁存；释放后由共用4.7V偏置经10k拉高</t>
  </si>
  <si>
    <t>开路时默认高；基板12V掉电时上拉失效</t>
  </si>
  <si>
    <t>CN8.1直通H11.1；R48=10k接共用偏置；R8=1k从12V供电，D23=BZT52C4V7S钳位</t>
  </si>
  <si>
    <t>推荐开漏/开集拉低；若推挽高，确认高电平与锁存板输入兼容</t>
  </si>
  <si>
    <t>CN8.1 / H11.1 / R48.1</t>
  </si>
  <si>
    <t>新版共用偏置结构，非三路独立1k串联钳位</t>
  </si>
  <si>
    <t>BMS_RESET</t>
  </si>
  <si>
    <t>外部拉低时复位BMS锁存；释放后由共用4.7V偏置经10k拉高</t>
  </si>
  <si>
    <t>CN8.2直通H11.2；R49=10k接共用偏置；R8=1k从12V供电，D23=BZT52C4V7S钳位</t>
  </si>
  <si>
    <t>CN8.2 / H11.2 / R49.1</t>
  </si>
  <si>
    <t>R_E_RESET</t>
  </si>
  <si>
    <t>外部拉低时复位EBS/RES锁存；释放后由共用4.7V偏置经10k拉高</t>
  </si>
  <si>
    <t>CN8.3直通H11.3；R50=10k接共用偏置；R8=1k从12V供电，D23=BZT52C4V7S钳位</t>
  </si>
  <si>
    <t>CN8.3 / H11.3 / R50.1</t>
  </si>
  <si>
    <t>IMD_ERROR</t>
  </si>
  <si>
    <t>输入/直通</t>
  </si>
  <si>
    <t>模拟状态电压</t>
  </si>
  <si>
    <t>正常约12V、错误约9V（现有系统定义）</t>
  </si>
  <si>
    <t>由错误锁存板比较并锁存IMD故障</t>
  </si>
  <si>
    <t>断线/异常电压的判定取决于锁存板阈值</t>
  </si>
  <si>
    <t>直通H12.1，无基板调理</t>
  </si>
  <si>
    <t>禁止超过锁存板允许输入；台架扫描阈值和容差</t>
  </si>
  <si>
    <t>CN8.4 / H12.1</t>
  </si>
  <si>
    <t>需台架确认</t>
  </si>
  <si>
    <t>BMS_ERROR</t>
  </si>
  <si>
    <t>正常约12V、错误约10V（现有系统定义）</t>
  </si>
  <si>
    <t>由错误锁存板比较并锁存BMS故障</t>
  </si>
  <si>
    <t>断线/异常电压取决于比较阈值</t>
  </si>
  <si>
    <t>直通H12.2，无基板调理</t>
  </si>
  <si>
    <t>用真实BMS输出验证阈值窗口</t>
  </si>
  <si>
    <t>CN8.5 / H12.2</t>
  </si>
  <si>
    <t>作为低压回流；原理图及PCB必须实际接地</t>
  </si>
  <si>
    <t>新版base.tel已确认GND</t>
  </si>
  <si>
    <t>EMERGENCY_BUZZER_VCU</t>
  </si>
  <si>
    <t>12V灌电流型线圈控制</t>
  </si>
  <si>
    <t>低有效，约33mA灌电流</t>
  </si>
  <si>
    <t>拉低使K9吸合并将EMERGENCY_BUZZER输出接GND，开启蜂鸣器</t>
  </si>
  <si>
    <t>高电平/开路时K9释放，蜂鸣器输出开路</t>
  </si>
  <si>
    <t>12V→K9线圈→VCU；D8续流</t>
  </si>
  <si>
    <t>VCU输出需能灌约33mA</t>
  </si>
  <si>
    <t>CN8.7 / D8.2 / K9.5</t>
  </si>
  <si>
    <t>LED_BRAKE_VCU</t>
  </si>
  <si>
    <t>拉低使K6吸合并接通LED_BRAKE的12V输出</t>
  </si>
  <si>
    <t>高/开路时K6释放，LED_BRAKE开路</t>
  </si>
  <si>
    <t>12V→K6线圈→VCU；D10续流</t>
  </si>
  <si>
    <t>VCU需能灌约33mA</t>
  </si>
  <si>
    <t>CN8.8 / D10.2 / K6.5</t>
  </si>
  <si>
    <t>ASSI_Y_VCU</t>
  </si>
  <si>
    <t>拉低使K8吸合并接通ASSI_Y的12V输出</t>
  </si>
  <si>
    <t>高/开路时K8释放，ASSI_Y开路</t>
  </si>
  <si>
    <t>12V→K8线圈→VCU；D11续流</t>
  </si>
  <si>
    <t>CN8.9 / D11.2 / K8.5</t>
  </si>
  <si>
    <t>ASSI_B_VCU</t>
  </si>
  <si>
    <t>拉低使K11吸合并接通ASSI_B的12V输出</t>
  </si>
  <si>
    <t>高/开路时K11释放，ASSI_B开路</t>
  </si>
  <si>
    <t>12V→K11线圈→VCU；D12续流</t>
  </si>
  <si>
    <t>CN8.10 / D12.2 / K11.5</t>
  </si>
  <si>
    <t>SHUTDOWN_END</t>
  </si>
  <si>
    <t>光耦控制PMOS高边12V输出</t>
  </si>
  <si>
    <t>0/12V；输入端24V高有效</t>
  </si>
  <si>
    <t>CN12.2 SHUTDOWNE_IN约24V时，U20导通并拉低Q4 Gate，输出12V</t>
  </si>
  <si>
    <t>输入无24V或12V掉电时Q4关闭，R39=100k将输出拉低</t>
  </si>
  <si>
    <t>2×2.4k输入限流+LTV-217+10k Gate上拉+4.7k光耦下拉+BZT52C10S钳位+AOD4185</t>
  </si>
  <si>
    <t>可带较大负载，但接口允许电流必须按PCB铜皮、连接器、保险和温升单独冻结；当前输入/输出共GND，不构成隔离</t>
  </si>
  <si>
    <t>CN8.11 / Q4.2 / R39.2</t>
  </si>
  <si>
    <t>需负载确认</t>
  </si>
  <si>
    <t>SHUTDOWN_START</t>
  </si>
  <si>
    <t>CN12.1 SHUTDOWNS_IN约24V时输出12V</t>
  </si>
  <si>
    <t>输入无24V或12V掉电时R37下拉为0V</t>
  </si>
  <si>
    <t>U19+Q3高边开关，结构同SHUTDOWN_END</t>
  </si>
  <si>
    <t>允许电流需按实际负载冻结；共地，不是隔离输出</t>
  </si>
  <si>
    <t>CN8.12 / Q3.2 / R37.2</t>
  </si>
  <si>
    <t>公共GND</t>
  </si>
  <si>
    <t>作为低压信号/电源回流；不得与牵引高压侧直接混用</t>
  </si>
  <si>
    <t>新版网表由原NC改接GND</t>
  </si>
  <si>
    <t>ASMS</t>
  </si>
  <si>
    <t>24V状态/继电器线圈/触点源</t>
  </si>
  <si>
    <t>约24V高有效；典型输入电流约22mA</t>
  </si>
  <si>
    <t>ASMS高时HF115F/024线圈吸合，同时光耦U15导通并生成ASMS_VCU=12V</t>
  </si>
  <si>
    <t>ASMS低/断线时继电器释放，ASMS_VCU由R38拉低</t>
  </si>
  <si>
    <t>同时连接RELAY1线圈、第一组NC触点、U15输入；D22续流/钳位</t>
  </si>
  <si>
    <t>由ASMS开关后的24V供给；线束和开关需承担继电器线圈+光耦LED电流</t>
  </si>
  <si>
    <t>CN8.14 / D22.1 / R22.2 / RELAY1.2 / RELAY1.8</t>
  </si>
  <si>
    <t>12V</t>
  </si>
  <si>
    <t>电源输入</t>
  </si>
  <si>
    <t>基板12V母线</t>
  </si>
  <si>
    <t>标称12V</t>
  </si>
  <si>
    <t>给G5Q继电器、错误锁存供电排针、三路PMOS高边源极和其他辅助电路供电</t>
  </si>
  <si>
    <t>掉电后所有12V输出、错误灯继电器及PMOS输出均失效</t>
  </si>
  <si>
    <t>连接H8.1、H13.2、K2/K5/K6/K8/K9/K11/K12/K13/K14及Q2/Q3/Q4 Source等</t>
  </si>
  <si>
    <t>需按最大同时吸合线圈数、外部负载和PMOS输出总电流配置保险、连接器和线宽</t>
  </si>
  <si>
    <t>CN8.15 / D8.1 / D10.1 / D11.1 / D12.1 / D13.1 / D14.1 / D15.1 / D36.1 / D38.1 / D40.1 / H8.1 / H13.2 / K2.3 / K5.3 / K6.1 / K6.3 / K8.1 / K8.3 / K9.1 / K9.3 / K11.1 / K11.3 / K12.1 / K13.1 / K14.1 / Q2.3 / Q3.3 / Q4.3 / R8.2 / R26.2 / R30.2 / R34.2</t>
  </si>
  <si>
    <t>需电源预算</t>
  </si>
  <si>
    <t>ASMS_VCU</t>
  </si>
  <si>
    <t>ASMS有效时约12V，否则0V</t>
  </si>
  <si>
    <t>ASMS约24V时U15导通，Q2开启，输出12V</t>
  </si>
  <si>
    <t>ASMS无效、输入断线或12V掉电时Q2关闭，R38=100k下拉</t>
  </si>
  <si>
    <t>LTV-217控制AOD4185；Gate有10k上拉、4.7k下拉驱动和10V栅源钳位</t>
  </si>
  <si>
    <t>输出负载电流需冻结；当前24V侧和12V侧共GND，因此只作电平转换/缓冲</t>
  </si>
  <si>
    <t>CN8.16 / Q2.2 / R38.2</t>
  </si>
  <si>
    <t>与CN7.10、光耦输入/输出侧及板卡共地</t>
  </si>
  <si>
    <t>ISDC_ASRL</t>
  </si>
  <si>
    <t>HF115F第一组常闭触点</t>
  </si>
  <si>
    <t>继电器释放时与ASMS导通；吸合时开路</t>
  </si>
  <si>
    <t>ASMS低/无电使RELAY1释放时，RELAY1.2与.3导通</t>
  </si>
  <si>
    <t>ASMS高使RELAY1吸合后该触点断开</t>
  </si>
  <si>
    <t>RELAY1.2=ASMS侧NC，RELAY1.3=ISDC侧COM（按当前网表使用）</t>
  </si>
  <si>
    <t>这是触点路径，不是固定0/12V逻辑；电位跟随ASMS端</t>
  </si>
  <si>
    <t>CN8.18 / RELAY1.3</t>
  </si>
  <si>
    <t>OSDC_ASRL</t>
  </si>
  <si>
    <t>HF115F第二组常开触点</t>
  </si>
  <si>
    <t>继电器吸合时与AS_PWR导通；释放时开路</t>
  </si>
  <si>
    <t>ASMS高使RELAY1吸合，OSDC_ASRL连接AS_PWR</t>
  </si>
  <si>
    <t>ASMS低/掉电时开路</t>
  </si>
  <si>
    <t>RELAY1.5=OSDC侧NO，RELAY1.6=AS_PWR侧COM（按当前网表使用）</t>
  </si>
  <si>
    <t>电压和负载能力取决于CN8.20 AS_PWR及触点/铜皮/连接器</t>
  </si>
  <si>
    <t>CN8.19 / RELAY1.5</t>
  </si>
  <si>
    <t>AS_PWR</t>
  </si>
  <si>
    <t>外部降压后电源/触点源</t>
  </si>
  <si>
    <t>电压待系统冻结，通常预期12V</t>
  </si>
  <si>
    <t>RELAY1吸合时经常开触点送至OSDC_ASRL</t>
  </si>
  <si>
    <t>继电器释放时与OSDC断开</t>
  </si>
  <si>
    <t>仅连接RELAY1.6；基板没有从ASMS生成AS_PWR的DC/DC</t>
  </si>
  <si>
    <t>必须由外部独立电源或降压模块供给，明确电压、GND、保险和最大电流</t>
  </si>
  <si>
    <t>CN8.20 / RELAY1.6</t>
  </si>
  <si>
    <t>CN9</t>
  </si>
  <si>
    <t>MAINN_ACTUAL</t>
  </si>
  <si>
    <t>输出/直通</t>
  </si>
  <si>
    <t>继电器辅助触点检测逻辑（47Ω串联）</t>
  </si>
  <si>
    <t>5V同相逻辑</t>
  </si>
  <si>
    <t>主负辅助触点闭合=5V，断开=0V</t>
  </si>
  <si>
    <t>与MAINN#互补</t>
  </si>
  <si>
    <t>CN9.1→R42(47Ω)→H20.1 MAINN_ACTUAL</t>
  </si>
  <si>
    <t>{wiring}</t>
  </si>
  <si>
    <t>CN9.1 / R42.2</t>
  </si>
  <si>
    <t>新版增加47Ω串联电阻</t>
  </si>
  <si>
    <t>MAINN#</t>
  </si>
  <si>
    <t>5V反相逻辑</t>
  </si>
  <si>
    <t>主负辅助触点闭合=0V，断开=5V</t>
  </si>
  <si>
    <t>与MAINN_ACTUAL互补</t>
  </si>
  <si>
    <t>CN9.2→R47(47Ω)→H20.2 MAINN#</t>
  </si>
  <si>
    <t>CN9.2 / R47.1</t>
  </si>
  <si>
    <t>PRE#</t>
  </si>
  <si>
    <t>预充辅助触点闭合=0V，断开=5V</t>
  </si>
  <si>
    <t>与PRE_ACTUAL互补</t>
  </si>
  <si>
    <t>CN9.3→R43(47Ω)→H18.1 PRE#</t>
  </si>
  <si>
    <t>CN9.3 / R43.2</t>
  </si>
  <si>
    <t>OIL4</t>
  </si>
  <si>
    <t>模拟传感器输入（100nF并联滤波）</t>
  </si>
  <si>
    <t>0~5V；当前系统0~20MPa→0~5V</t>
  </si>
  <si>
    <t>约30bar对应约0.75V，BSPD据此判断制动压力条件</t>
  </si>
  <si>
    <t>低于阈值为制动条件无效；开路由BSPD板内10k上拉趋向有效高，需结合电流与延时验证</t>
  </si>
  <si>
    <t>CN9.4直通H5.1，C4=100nF对GND滤波</t>
  </si>
  <si>
    <t>传感器输出必须以基板GND为参考；禁止输入12/24V</t>
  </si>
  <si>
    <t>C4.2 / CN9.4 / H5.1</t>
  </si>
  <si>
    <t>新版增加100nF输入滤波</t>
  </si>
  <si>
    <t>PRE_ACTUAL</t>
  </si>
  <si>
    <t>预充辅助触点闭合=5V，断开=0V</t>
  </si>
  <si>
    <t>与PRE#互补</t>
  </si>
  <si>
    <t>CN9.5→R44(47Ω)→H18.2 PRE_ACTUAL</t>
  </si>
  <si>
    <t>CN9.5 / R44.2</t>
  </si>
  <si>
    <t>OIL3</t>
  </si>
  <si>
    <t>CN9.6直通H5.2，C3=100nF对GND滤波</t>
  </si>
  <si>
    <t>C3.2 / CN9.6 / H5.2</t>
  </si>
  <si>
    <t>MAINP#</t>
  </si>
  <si>
    <t>主正辅助触点闭合=0V，断开=5V</t>
  </si>
  <si>
    <t>与MAINP_ACTUAL互补</t>
  </si>
  <si>
    <t>CN9.7→R45(47Ω)→H16.1 MAINP#</t>
  </si>
  <si>
    <t>CN9.7 / R45.2</t>
  </si>
  <si>
    <t>OIL2</t>
  </si>
  <si>
    <t>CN9.8直通H5.3，C2=100nF对GND滤波</t>
  </si>
  <si>
    <t>C2.2 / CN9.8 / H5.3</t>
  </si>
  <si>
    <t>MAINP_ACTUAL</t>
  </si>
  <si>
    <t>主正辅助触点闭合=5V，断开=0V</t>
  </si>
  <si>
    <t>与MAINP#互补</t>
  </si>
  <si>
    <t>CN9.9→R46(47Ω)→H16.2 MAINP_ACTUAL</t>
  </si>
  <si>
    <t>CN9.9 / R46.2</t>
  </si>
  <si>
    <t>OIL1</t>
  </si>
  <si>
    <t>CN9.10直通H5.4，C1=100nF对GND滤波</t>
  </si>
  <si>
    <t>C1.2 / CN9.10 / H5.4</t>
  </si>
  <si>
    <t>CN10</t>
  </si>
  <si>
    <t>NC</t>
  </si>
  <si>
    <t>未连接</t>
  </si>
  <si>
    <t>保留针脚</t>
  </si>
  <si>
    <t>无网络</t>
  </si>
  <si>
    <t>标NC</t>
  </si>
  <si>
    <t>CURRENT</t>
  </si>
  <si>
    <t>0~5V；当前系统0~50A→0~5V</t>
  </si>
  <si>
    <t>约11.1A（5kW@450V）对应约1.11V</t>
  </si>
  <si>
    <t>低于阈值表示电流条件无效；开路由BSPD板内10k上拉趋向高，需结合油压与延时验证</t>
  </si>
  <si>
    <t>CN10.2直通H7.1，C5=100nF对GND滤波</t>
  </si>
  <si>
    <t>禁止输入12/24V；采用高阻模拟信号布线</t>
  </si>
  <si>
    <t>C5.2 / CN10.2 / H7.1</t>
  </si>
  <si>
    <t>V_BATTERY</t>
  </si>
  <si>
    <t>隔离电压传感器低压模拟量</t>
  </si>
  <si>
    <t>源表0～500V→1～5V；与TSAL阈值冲突，待核定</t>
  </si>
  <si>
    <t>由TSAL板判断电池侧高压是否低于/高于规则阈值</t>
  </si>
  <si>
    <t>传感器断线和越界策略由TSAL板比较/锁存电路处理</t>
  </si>
  <si>
    <t>直通H15.2</t>
  </si>
  <si>
    <t>只能接隔离电压传感器低压输出，严禁直接接牵引高压</t>
  </si>
  <si>
    <t>CN10.3 / H15.2</t>
  </si>
  <si>
    <t>GREEN_OUT_K</t>
  </si>
  <si>
    <t>TSAL绿灯低边开关</t>
  </si>
  <si>
    <t>导通拉GND/关断高阻</t>
  </si>
  <si>
    <t>满足绿灯条件时持续拉低</t>
  </si>
  <si>
    <t>不满足或TSAL掉电时高阻</t>
  </si>
  <si>
    <t>直通H14.1，由TSAL板输出级驱动</t>
  </si>
  <si>
    <t>外部绿灯正端接规定电源并限流，负端接本针</t>
  </si>
  <si>
    <t>CN10.5 / H14.1</t>
  </si>
  <si>
    <t>RED_OUT_K</t>
  </si>
  <si>
    <t>TSAL红灯低边开关</t>
  </si>
  <si>
    <t>满足红灯条件时按规则频率闪烁拉低</t>
  </si>
  <si>
    <t>直通H14.2</t>
  </si>
  <si>
    <t>外部红灯正端接规定电源并限流，负端接本针</t>
  </si>
  <si>
    <t>CN10.7 / H14.2</t>
  </si>
  <si>
    <t>V_CONTROLLER</t>
  </si>
  <si>
    <t>由TSAL板判断控制器/DC-link侧高压状态</t>
  </si>
  <si>
    <t>传感器断线和越界策略由TSAL板处理</t>
  </si>
  <si>
    <t>直通H10.2</t>
  </si>
  <si>
    <t>只能接隔离传感器输出，严禁直接接牵引高压</t>
  </si>
  <si>
    <t>CN10.9 / H10.2</t>
  </si>
  <si>
    <t>+24VIN</t>
  </si>
  <si>
    <t>24V低压电源</t>
  </si>
  <si>
    <t>标称24V</t>
  </si>
  <si>
    <t>同时送BSPD供电H2.1和安全回路相关H6.1</t>
  </si>
  <si>
    <t>掉电时BSPD和相关安全回路功能失效/进入安全状态</t>
  </si>
  <si>
    <t>直通H2.1、H6.1</t>
  </si>
  <si>
    <t>按BSPD与安全回路最大电流配置保险和线束</t>
  </si>
  <si>
    <t>CN10.10 / H2.1 / H6.1</t>
  </si>
  <si>
    <t>CN11</t>
  </si>
  <si>
    <t>VCU_WDI</t>
  </si>
  <si>
    <t>VCU直接输出看门狗方波</t>
  </si>
  <si>
    <t>0–5 V推挽方波/10 Hz</t>
  </si>
  <si>
    <t>持续翻转表示VCU运行，停止/异常由EBS板判定</t>
  </si>
  <si>
    <t>开路或停止翻转应触发EBS安全动作，具体时间由EBS板定义</t>
  </si>
  <si>
    <t>直通H4.1，基板不做调理</t>
  </si>
  <si>
    <t>0–5V 推挽方波，频率10 Hz ，占空比50%</t>
  </si>
  <si>
    <t>CN11.1 / H4.1</t>
  </si>
  <si>
    <t>RES_ERROR</t>
  </si>
  <si>
    <t>直通输入（调理在锁存板）</t>
  </si>
  <si>
    <t>健康12V／故障0V；由VCU独立输出</t>
  </si>
  <si>
    <t>VCU健康输出12V、故障0V；TSMS前先建立有效健康态；直通H9.2，由锁存板调理</t>
  </si>
  <si>
    <t>断线/异常电平行为由锁存板输入调理电路决定</t>
  </si>
  <si>
    <t>CN11.2与H9.2直连；调理网络位于锁存板</t>
  </si>
  <si>
    <t>按锁存板输入额定、线束规范和测试要求接入</t>
  </si>
  <si>
    <t>CN11.2 / H9.2</t>
  </si>
  <si>
    <t>基板无需重复设置输入调理</t>
  </si>
  <si>
    <t>EBS_TRIG_IN（网表$1N393）</t>
  </si>
  <si>
    <t>12V→约4.7V限流钳位</t>
  </si>
  <si>
    <t>12V高有效，输入支路约7.3mA</t>
  </si>
  <si>
    <t>高电平经R7和D21形成约4.7V钳位节点，再经R41送EBS_TRIG</t>
  </si>
  <si>
    <t>低/开路时内部为低，具体偏置由EBS板输入决定</t>
  </si>
  <si>
    <t>CN11.3→R7→D21 4.7V钳位节点→R41→H4.2 EBS_TRIG</t>
  </si>
  <si>
    <t>确认EBS板高有效逻辑；建议在原理图命名连接器侧网络</t>
  </si>
  <si>
    <t>CN11.3 / R7.2</t>
  </si>
  <si>
    <t>需设计确认</t>
  </si>
  <si>
    <t>连接器侧网络仍为自动名$1N393</t>
  </si>
  <si>
    <t>EBS_CHECK</t>
  </si>
  <si>
    <t>EBS状态反馈</t>
  </si>
  <si>
    <t>预期0/12V，极性待确认</t>
  </si>
  <si>
    <t>由EBS板输出状态</t>
  </si>
  <si>
    <t>故障、掉电和断线状态需台架确认</t>
  </si>
  <si>
    <t>直通H4.3</t>
  </si>
  <si>
    <t>对接VCU高阻12V数字输入</t>
  </si>
  <si>
    <t>CN11.4 / H4.3</t>
  </si>
  <si>
    <t>EBS_WORK</t>
  </si>
  <si>
    <t>EBS执行器/继电器电源输出</t>
  </si>
  <si>
    <t>正常约24V</t>
  </si>
  <si>
    <t>EBS允许工作时输出约24V</t>
  </si>
  <si>
    <t>触发、看门狗异常或掉电时约0V/断开</t>
  </si>
  <si>
    <t>直通H3.2</t>
  </si>
  <si>
    <t>不是普通逻辑信号，负载能力由EBS板触点、线束和保护决定</t>
  </si>
  <si>
    <t>CN11.5 / H3.2</t>
  </si>
  <si>
    <t>SCOUT</t>
  </si>
  <si>
    <t>安全回路输出</t>
  </si>
  <si>
    <t>安全回路电压/触点</t>
  </si>
  <si>
    <t>无故障时由错误锁存板保持安全回路导通</t>
  </si>
  <si>
    <t>故障或掉电时应断开</t>
  </si>
  <si>
    <t>直通H19.2</t>
  </si>
  <si>
    <t>不是固定0/5/12V逻辑输出</t>
  </si>
  <si>
    <t>CN11.6 / H19.2</t>
  </si>
  <si>
    <t>VCU_FB</t>
  </si>
  <si>
    <t>由EBS板继电器/逻辑状态生成</t>
  </si>
  <si>
    <t>故障、掉电和断线组合需台架确认</t>
  </si>
  <si>
    <t>直通H3.4</t>
  </si>
  <si>
    <t>对接VCU高阻数字输入</t>
  </si>
  <si>
    <t>CN11.7 / H3.4</t>
  </si>
  <si>
    <t>EBS_PWR</t>
  </si>
  <si>
    <t>EBS板24V电源</t>
  </si>
  <si>
    <t>为EBS板供电</t>
  </si>
  <si>
    <t>掉电应使EBS进入安全状态</t>
  </si>
  <si>
    <t>直通H1.1；H1.2为GND</t>
  </si>
  <si>
    <t>与GND成对布线并配置保险</t>
  </si>
  <si>
    <t>CN11.9 / H1.1</t>
  </si>
  <si>
    <t>SDC_IN_EBS</t>
  </si>
  <si>
    <t>安全回路输入</t>
  </si>
  <si>
    <t>经DCDC后的12V安全回路</t>
  </si>
  <si>
    <t>安全回路有效时送EBS板H3.1</t>
  </si>
  <si>
    <t>断开/掉电由EBS板处理并进入安全状态</t>
  </si>
  <si>
    <t>直通H3.1</t>
  </si>
  <si>
    <t>属于安全回路，不作为普通逻辑信号</t>
  </si>
  <si>
    <t>CN11.10 / H3.1</t>
  </si>
  <si>
    <t>新方案12V；DCDC与实物待验收</t>
  </si>
  <si>
    <t>CN12</t>
  </si>
  <si>
    <t>SHUTDOWNS_IN</t>
  </si>
  <si>
    <t>24V状态输入</t>
  </si>
  <si>
    <t>24V高有效，光耦LED约4.75mA</t>
  </si>
  <si>
    <t>24V存在时生成CN8.12 SHUTDOWN_START=12V</t>
  </si>
  <si>
    <t>0V/断线时PMOS关闭，输出由100k下拉为0V</t>
  </si>
  <si>
    <t>2×2.4k串联限流、LTV-217输入，D37反并联保护；与输出侧共GND</t>
  </si>
  <si>
    <t>来自安全回路起点；不得作为大电流路径</t>
  </si>
  <si>
    <t>CN12.1 / R28.2</t>
  </si>
  <si>
    <t>SHUTDOWNE_IN</t>
  </si>
  <si>
    <t>24V存在时生成CN8.11 SHUTDOWN_END=12V</t>
  </si>
  <si>
    <t>0V/断线时输出0V</t>
  </si>
  <si>
    <t>2×2.4k+LTV-217+D39，结构同起点通道</t>
  </si>
  <si>
    <t>来自安全回路终点；不得作为大电流路径</t>
  </si>
  <si>
    <t>CN12.2 / R32.2</t>
  </si>
  <si>
    <t>板卡排针 H1–H20 全部接口特性与定义（v7）</t>
  </si>
  <si>
    <t>本页方向以所连接板卡为观察点。H10.1、H15.1为明确NC；H17.3 R_E_LED为锁存板设计冗余接口，按设计未使用。</t>
  </si>
  <si>
    <t>排针</t>
  </si>
  <si>
    <t>所属板卡</t>
  </si>
  <si>
    <t>方向（相对板卡）</t>
  </si>
  <si>
    <t>标称电平/类型</t>
  </si>
  <si>
    <t>基板连接来源/去向</t>
  </si>
  <si>
    <t>定义与用途</t>
  </si>
  <si>
    <t>H1</t>
  </si>
  <si>
    <t>EBS</t>
  </si>
  <si>
    <t>24V电源</t>
  </si>
  <si>
    <t>来自CN11.9</t>
  </si>
  <si>
    <t>EBS板主电源</t>
  </si>
  <si>
    <t>低压公共地</t>
  </si>
  <si>
    <t>H2</t>
  </si>
  <si>
    <t>BSPD</t>
  </si>
  <si>
    <t>来自CN10.10</t>
  </si>
  <si>
    <t>BSPD板电源/安全回路相关供电</t>
  </si>
  <si>
    <t>H3</t>
  </si>
  <si>
    <t>来自CN11.10</t>
  </si>
  <si>
    <t>EBS安全回路输入</t>
  </si>
  <si>
    <t>至CN11.5</t>
  </si>
  <si>
    <t>EBS执行器/工作电源输出</t>
  </si>
  <si>
    <t>EBS_ERROR</t>
  </si>
  <si>
    <t>5V逻辑，低有效故障</t>
  </si>
  <si>
    <t>同时至H9.1</t>
  </si>
  <si>
    <t>H3.3 / H9.1</t>
  </si>
  <si>
    <t>送错误锁存板</t>
  </si>
  <si>
    <t>预期0/12V</t>
  </si>
  <si>
    <t>至CN11.7</t>
  </si>
  <si>
    <t>极性和组合状态需台架确认</t>
  </si>
  <si>
    <t>H4</t>
  </si>
  <si>
    <t>来自CN11.1</t>
  </si>
  <si>
    <t>EBS_TRIG</t>
  </si>
  <si>
    <t>约0/4.7V，外部12V高有效</t>
  </si>
  <si>
    <t>来自CN11.3，经R7/D21/R41限流钳位</t>
  </si>
  <si>
    <t>H4.2 / R41.1</t>
  </si>
  <si>
    <t>EBS触发输入；两级1k串联，中间4.7V稳压钳位</t>
  </si>
  <si>
    <t>至CN11.4</t>
  </si>
  <si>
    <t>极性需台架确认</t>
  </si>
  <si>
    <t>H5</t>
  </si>
  <si>
    <t>0~5V模拟量</t>
  </si>
  <si>
    <t>来自CN9.4；C4=100nF对GND滤波</t>
  </si>
  <si>
    <t>OIL4油压传感器输入（100nF滤波）</t>
  </si>
  <si>
    <t>来自CN9.6；C3=100nF对GND滤波</t>
  </si>
  <si>
    <t>OIL3油压传感器输入（100nF滤波）</t>
  </si>
  <si>
    <t>来自CN9.8；C2=100nF对GND滤波</t>
  </si>
  <si>
    <t>OIL2油压传感器输入（100nF滤波）</t>
  </si>
  <si>
    <t>来自CN9.10；C1=100nF对GND滤波</t>
  </si>
  <si>
    <t>OIL1油压传感器输入（100nF滤波）</t>
  </si>
  <si>
    <t>H6</t>
  </si>
  <si>
    <t>SDC</t>
  </si>
  <si>
    <t>H6输出/H19输入</t>
  </si>
  <si>
    <t>H6.2与H19.1直连</t>
  </si>
  <si>
    <t>H6.2 / H19.1</t>
  </si>
  <si>
    <t>BSPD输出送错误锁存板</t>
  </si>
  <si>
    <t>H7</t>
  </si>
  <si>
    <t>来自CN10.2；C5=100nF对GND滤波</t>
  </si>
  <si>
    <t>BSPD电流传感器输入（100nF滤波）</t>
  </si>
  <si>
    <t>H8</t>
  </si>
  <si>
    <t>12V辅助供电</t>
  </si>
  <si>
    <t>电源</t>
  </si>
  <si>
    <t>来自CN8.15</t>
  </si>
  <si>
    <t>基板/错误锁存供电</t>
  </si>
  <si>
    <t>H9</t>
  </si>
  <si>
    <t>错误锁存</t>
  </si>
  <si>
    <t>输入（相对锁存板）</t>
  </si>
  <si>
    <t>来自基板H3.3 EBS_ERROR</t>
  </si>
  <si>
    <t>健康12V／故障0V；外部直通</t>
  </si>
  <si>
    <t>CN11.2直通；输入调理位于错误锁存板</t>
  </si>
  <si>
    <t>RES错误信号；电平保护、阈值及默认态由锁存板调理电路定义</t>
  </si>
  <si>
    <t>H10</t>
  </si>
  <si>
    <t>TSAL</t>
  </si>
  <si>
    <t>原表1～5V，比例与TSAL阈值待核定</t>
  </si>
  <si>
    <t>来自CN10.9</t>
  </si>
  <si>
    <t>控制器侧电压传感器输出</t>
  </si>
  <si>
    <t>H11</t>
  </si>
  <si>
    <t>约4.7V默认高，低脉冲有效</t>
  </si>
  <si>
    <t>CN8.1直通；R48=10k接共用4.7V偏置</t>
  </si>
  <si>
    <t>IMD锁存复位；开路默认高，外部拉低有效</t>
  </si>
  <si>
    <t>CN8.2直通；R49=10k接共用4.7V偏置</t>
  </si>
  <si>
    <t>BMS锁存复位；开路默认高，外部拉低有效</t>
  </si>
  <si>
    <t>CN8.3直通；R50=10k接共用4.7V偏置</t>
  </si>
  <si>
    <t>EBS/RES锁存复位；开路默认高，外部拉低有效</t>
  </si>
  <si>
    <t>H12</t>
  </si>
  <si>
    <t>约9~12V状态模拟量</t>
  </si>
  <si>
    <t>来自CN8.4</t>
  </si>
  <si>
    <t>阈值需实测</t>
  </si>
  <si>
    <t>约10~12V状态模拟量</t>
  </si>
  <si>
    <t>来自CN8.5</t>
  </si>
  <si>
    <t>H13</t>
  </si>
  <si>
    <t>错误锁存供电</t>
  </si>
  <si>
    <t>H14</t>
  </si>
  <si>
    <t>低边拉地/高阻</t>
  </si>
  <si>
    <t>至CN10.5</t>
  </si>
  <si>
    <t>TSAL绿灯阴极输出</t>
  </si>
  <si>
    <t>低边闪烁拉地/高阻</t>
  </si>
  <si>
    <t>至CN10.7</t>
  </si>
  <si>
    <t>TSAL红灯阴极输出</t>
  </si>
  <si>
    <t>H15</t>
  </si>
  <si>
    <t>来自CN10.3</t>
  </si>
  <si>
    <t>电池侧电压传感器输出</t>
  </si>
  <si>
    <t>H16</t>
  </si>
  <si>
    <t>来自CN9.7，经R45=47Ω串联</t>
  </si>
  <si>
    <t>H16.1 / R45.1</t>
  </si>
  <si>
    <t>与MAINP_ACTUAL互补；CN9侧串联47Ω</t>
  </si>
  <si>
    <t>来自CN9.9，经R46=47Ω串联</t>
  </si>
  <si>
    <t>H16.2 / R46.1</t>
  </si>
  <si>
    <t>与MAINP#互补；CN9侧串联47Ω</t>
  </si>
  <si>
    <t>H17</t>
  </si>
  <si>
    <t>IMD_LED</t>
  </si>
  <si>
    <t>5V高有效状态</t>
  </si>
  <si>
    <t>经D30与VCU命令OR后驱动K13</t>
  </si>
  <si>
    <t>D30.2 / H17.1</t>
  </si>
  <si>
    <t>IMD硬件错误灯请求</t>
  </si>
  <si>
    <t>BMS_LED</t>
  </si>
  <si>
    <t>经D32与VCU命令OR后驱动K14</t>
  </si>
  <si>
    <t>D32.2 / H17.2</t>
  </si>
  <si>
    <t>BMS硬件错误灯请求</t>
  </si>
  <si>
    <t>R_E_LED</t>
  </si>
  <si>
    <t>输出/冗余</t>
  </si>
  <si>
    <t>5V逻辑（冗余未使用）</t>
  </si>
  <si>
    <t>仅H17.3单节点，按设计预留</t>
  </si>
  <si>
    <t>H17.3</t>
  </si>
  <si>
    <t>锁存板设计冗余接口，无实际用途</t>
  </si>
  <si>
    <t>冗余</t>
  </si>
  <si>
    <t>H18</t>
  </si>
  <si>
    <t>来自CN9.3，经R43=47Ω串联</t>
  </si>
  <si>
    <t>H18.1 / R43.1</t>
  </si>
  <si>
    <t>与PRE_ACTUAL互补；CN9侧串联47Ω</t>
  </si>
  <si>
    <t>来自CN9.5，经R44=47Ω串联</t>
  </si>
  <si>
    <t>H18.2 / R44.1</t>
  </si>
  <si>
    <t>与PRE#互补；CN9侧串联47Ω</t>
  </si>
  <si>
    <t>H19</t>
  </si>
  <si>
    <t>至CN11.6</t>
  </si>
  <si>
    <t>故障或掉电应断开</t>
  </si>
  <si>
    <t>H20</t>
  </si>
  <si>
    <t>来自CN9.1，经R42=47Ω串联</t>
  </si>
  <si>
    <t>H20.1 / R42.1</t>
  </si>
  <si>
    <t>与MAINN#互补；CN9侧串联47Ω</t>
  </si>
  <si>
    <t>来自CN9.2，经R47=47Ω串联</t>
  </si>
  <si>
    <t>H20.2 / R47.2</t>
  </si>
  <si>
    <t>与MAINN_ACTUAL互补；CN9侧串联47Ω</t>
  </si>
  <si>
    <t>VCU相关I/O速查表（v7；G5Q 3脚常开、4脚常闭）</t>
  </si>
  <si>
    <t>VCU方向以VCU为观察点。三路复位在基板侧经10k上拉至共用约4.7V偏置；K12错误灯继电器仅受CN7.16控制。</t>
  </si>
  <si>
    <t>接口</t>
  </si>
  <si>
    <t>信号</t>
  </si>
  <si>
    <t>电气类型</t>
  </si>
  <si>
    <t>有效电平/电流</t>
  </si>
  <si>
    <t>功能与默认状态</t>
  </si>
  <si>
    <t>实现/注意事项</t>
  </si>
  <si>
    <t>CN7.15</t>
  </si>
  <si>
    <t>VCU输出→基板</t>
  </si>
  <si>
    <t>12V源电流型</t>
  </si>
  <si>
    <t>高有效，约33mA</t>
  </si>
  <si>
    <t>高：继电器吸合，R2D蜂鸣器低边接GND并开启；低/开路：输出开路</t>
  </si>
  <si>
    <t>直接驱动G5Q线圈，使用2–3常开触点</t>
  </si>
  <si>
    <t>CN7.16</t>
  </si>
  <si>
    <t>12V高阻逻辑</t>
  </si>
  <si>
    <t>高有效，约0.1mA</t>
  </si>
  <si>
    <t>高：驱动K12并点亮EBS/RES错误灯；低/开路：K12释放</t>
  </si>
  <si>
    <t>二极管+2N7002K；H17.3 R_E_LED为锁存板冗余接口，按设计未使用</t>
  </si>
  <si>
    <t>CN7.17</t>
  </si>
  <si>
    <t>高：继电器吸合，DI8输出12V；低/开路：DI8开路</t>
  </si>
  <si>
    <t>高电平开启</t>
  </si>
  <si>
    <t>CN7.18</t>
  </si>
  <si>
    <t>高：继电器吸合，RUN输出12V；低/开路：RUN开路</t>
  </si>
  <si>
    <t>CN7.19</t>
  </si>
  <si>
    <t>高有效</t>
  </si>
  <si>
    <t>高：与BMS硬件状态OR后点灯</t>
  </si>
  <si>
    <t>二极管OR</t>
  </si>
  <si>
    <t>CN7.20</t>
  </si>
  <si>
    <t>高：与IMD硬件状态OR后点灯</t>
  </si>
  <si>
    <t>CN8.1</t>
  </si>
  <si>
    <t>开漏/开集拉低输入 + 10k上拉</t>
  </si>
  <si>
    <t>约4.7V默认高，低脉冲有效；外部12V经10k约0.73mA</t>
  </si>
  <si>
    <t>开路默认高；拉低复位IMD锁存</t>
  </si>
  <si>
    <t>R48=10k接共用4.7V偏置；确认VCU上电默认态</t>
  </si>
  <si>
    <t>CN8.2</t>
  </si>
  <si>
    <t>开路默认高；拉低复位BMS锁存</t>
  </si>
  <si>
    <t>R49=10k接共用4.7V偏置；确认VCU上电默认态</t>
  </si>
  <si>
    <t>CN8.3</t>
  </si>
  <si>
    <t>开路默认高；拉低复位EBS/RES锁存</t>
  </si>
  <si>
    <t>R50=10k接共用4.7V偏置；确认VCU上电默认态</t>
  </si>
  <si>
    <t>CN8.7</t>
  </si>
  <si>
    <t>12V灌电流型</t>
  </si>
  <si>
    <t>低有效，约33mA</t>
  </si>
  <si>
    <t>低：继电器吸合，紧急蜂鸣器低边接GND并开启；高/开路：输出开路</t>
  </si>
  <si>
    <t>低电平开启</t>
  </si>
  <si>
    <t>CN8.8</t>
  </si>
  <si>
    <t>低：继电器吸合，制动灯输出12V；高/开路：输出开路</t>
  </si>
  <si>
    <t>CN8.9</t>
  </si>
  <si>
    <t>低：继电器吸合，黄色ASSI输出12V；高/开路：输出开路</t>
  </si>
  <si>
    <t>CN8.10</t>
  </si>
  <si>
    <t>低：继电器吸合，蓝色ASSI输出12V；高/开路：输出开路</t>
  </si>
  <si>
    <t>CN8.11</t>
  </si>
  <si>
    <t>基板输出→VCU</t>
  </si>
  <si>
    <t>12V高边输出</t>
  </si>
  <si>
    <t>24V输入有效时高</t>
  </si>
  <si>
    <t>SHUTDOWNE_IN=24V→约12V；无效→0V</t>
  </si>
  <si>
    <t>负载电流待冻结</t>
  </si>
  <si>
    <t>CN8.12</t>
  </si>
  <si>
    <t>SHUTDOWNS_IN=24V→约12V；无效→0V</t>
  </si>
  <si>
    <t>CN8.16</t>
  </si>
  <si>
    <t>ASMS有效时高</t>
  </si>
  <si>
    <t>ASMS=24V→约12V；无效→0V</t>
  </si>
  <si>
    <t>光耦与输出共地</t>
  </si>
  <si>
    <t>CN11.1</t>
  </si>
  <si>
    <t>VCU输出→EBS</t>
  </si>
  <si>
    <t>持续10 Hz翻转有效</t>
  </si>
  <si>
    <t>停止/异常应触发EBS安全动作</t>
  </si>
  <si>
    <t>基板不调理，直接转接至EBS</t>
  </si>
  <si>
    <t>CN11.3</t>
  </si>
  <si>
    <t>12V输入</t>
  </si>
  <si>
    <t>高有效，约7.3mA</t>
  </si>
  <si>
    <t>高→内部约4.7V EBS_TRIG</t>
  </si>
  <si>
    <t>连接器侧为$1N393；R7/D21/R41限流钳位</t>
  </si>
  <si>
    <t>CN11.4</t>
  </si>
  <si>
    <t>EBS输出→VCU</t>
  </si>
  <si>
    <t>极性待确认</t>
  </si>
  <si>
    <t>台架确认</t>
  </si>
  <si>
    <t>CN11.7</t>
  </si>
  <si>
    <t>EBS继电器/状态反馈</t>
  </si>
  <si>
    <t>接口待确认事项与验证要求（v7）</t>
  </si>
  <si>
    <t>这些项目不一定是连接错误，但在接口额定、软件定义或投产冻结前必须关闭。</t>
  </si>
  <si>
    <t>编号</t>
  </si>
  <si>
    <t>优先级</t>
  </si>
  <si>
    <t>事项</t>
  </si>
  <si>
    <t>网表/设计依据</t>
  </si>
  <si>
    <t>关闭动作</t>
  </si>
  <si>
    <t>P01</t>
  </si>
  <si>
    <t>高</t>
  </si>
  <si>
    <t>AOD4185三路输出允许电流未冻结</t>
  </si>
  <si>
    <t>ASMS_VCU、SHUTDOWN_START、SHUTDOWN_END采用AOD4185高边开关</t>
  </si>
  <si>
    <t>器件本身导通电阻低，但连接器、铜皮、过孔、保险和温升决定实际接口额定</t>
  </si>
  <si>
    <t>提供三路持续/浪涌电流及负载类型，完成热设计和保险选型</t>
  </si>
  <si>
    <t>P02</t>
  </si>
  <si>
    <t>低</t>
  </si>
  <si>
    <t>R_E_LED为锁存板冗余接口</t>
  </si>
  <si>
    <t>H17.3为单节点，按锁存板设计预留</t>
  </si>
  <si>
    <t>无实际功能，不参与K12错误灯控制</t>
  </si>
  <si>
    <t>保持未使用；线束及软件不得依赖该接口</t>
  </si>
  <si>
    <t>已确认</t>
  </si>
  <si>
    <t>P03</t>
  </si>
  <si>
    <t>中</t>
  </si>
  <si>
    <t>EBS_CHECK与VCU_FB极性未冻结</t>
  </si>
  <si>
    <t>两路均由EBS板直通基板</t>
  </si>
  <si>
    <t>软件无法仅凭网络名确定故障/正常电平</t>
  </si>
  <si>
    <t>台架覆盖正常、触发、看门狗故障、掉电和断线状态</t>
  </si>
  <si>
    <t>P04</t>
  </si>
  <si>
    <t>IMD/BMS模拟错误阈值需冻结</t>
  </si>
  <si>
    <t>CN8.4/5无基板调理，直接送比较器板</t>
  </si>
  <si>
    <t>设备输出容差可能影响错误判断</t>
  </si>
  <si>
    <t>用真实IMD/BMS输出做电压窗口扫描</t>
  </si>
  <si>
    <t>P05</t>
  </si>
  <si>
    <t>AS_PWR由外部提供</t>
  </si>
  <si>
    <t>CN8.20仅连接HF115F触点，基板没有DC/DC</t>
  </si>
  <si>
    <t>没有外部AS_PWR时，OSDC_ASRL不会获得电压</t>
  </si>
  <si>
    <t>在线束图定义电压、地参考、保险和负载能力</t>
  </si>
  <si>
    <t>P06</t>
  </si>
  <si>
    <t>光耦当前不构成电气隔离</t>
  </si>
  <si>
    <t>U15/U19/U20的LED阴极和输出发射极均接同一GND</t>
  </si>
  <si>
    <t>只能作为电平转换/缓冲，不能宣称隔离</t>
  </si>
  <si>
    <t>若必须隔离，拆分24V侧和12V侧地；否则按当前文档标注共地</t>
  </si>
  <si>
    <t>已同步文档</t>
  </si>
  <si>
    <t>P07</t>
  </si>
  <si>
    <t>RES_ERROR调理位于锁存板</t>
  </si>
  <si>
    <t>CN11.2与H9.2直连，调理由锁存板完成</t>
  </si>
  <si>
    <t>基板直通符合模块分工</t>
  </si>
  <si>
    <t>按锁存板输入额定和测试方案验证</t>
  </si>
  <si>
    <t>P08</t>
  </si>
  <si>
    <t>CN7.11/13/14新网表为转向接口</t>
  </si>
  <si>
    <t>网表/base.tel：ROTATE_OUT/ROTATE_IN/ROTATE_VCU接K15；CN8.6仍为GND</t>
  </si>
  <si>
    <t>按旧表接地可能导致故障</t>
  </si>
  <si>
    <t>按最新网表与实板核对K15及线束；不改电路</t>
  </si>
  <si>
    <t>文档已校订，实物待核对</t>
  </si>
  <si>
    <t>P09</t>
  </si>
  <si>
    <t>CN11.3仍为自动网络名</t>
  </si>
  <si>
    <t>连接器侧为$1N393，板卡侧为EBS_TRIG</t>
  </si>
  <si>
    <t>版本比较和调试不直观</t>
  </si>
  <si>
    <t>原理图将连接器侧命名EBS_TRIG_IN</t>
  </si>
  <si>
    <t>待设计确认</t>
  </si>
  <si>
    <t>P10</t>
  </si>
  <si>
    <t>复位上电默认态需冻结</t>
  </si>
  <si>
    <t>三路复位直通板卡，并经各自10k接共用约4.7V偏置</t>
  </si>
  <si>
    <t>VCU启动低电平可能造成非预期复位；12V推挽高需确认兼容性</t>
  </si>
  <si>
    <t>规定上电态、驱动方式和脉冲宽度，验证掉电时序</t>
  </si>
  <si>
    <t>P11</t>
  </si>
  <si>
    <t>G5Q常开输出逻辑需软件明确</t>
  </si>
  <si>
    <t>RUN、DI8、制动灯、ASSI和蜂鸣器均使用2(COM)–3(NO)触点</t>
  </si>
  <si>
    <t>继电器释放、控制线断开或线圈掉电时输出均为开路</t>
  </si>
  <si>
    <t>在VCU I/O表和测试用例写清高/低有效及外部下拉</t>
  </si>
  <si>
    <t>P12</t>
  </si>
  <si>
    <t>TSAL传感器比例与比较阈值冲突</t>
  </si>
  <si>
    <t>原表0～500V→1～5V；60V为1.48V，TSAL参考0.300/0.743V</t>
  </si>
  <si>
    <t>不能据此宣称60V判定通过</t>
  </si>
  <si>
    <t>冻结完整传递函数并实测；不擅自更改量程</t>
  </si>
  <si>
    <t>P13</t>
  </si>
  <si>
    <t>EBS安全回路改为12V</t>
  </si>
  <si>
    <t>2026-10-04方案及ebs.tel RLY2 12V</t>
  </si>
  <si>
    <t>不得仍接旧24V</t>
  </si>
  <si>
    <t>确认DCDC位置、SDC_IN与两继电器触点</t>
  </si>
  <si>
    <t>待实物确认</t>
  </si>
  <si>
    <t>核对依据与官方器件资料（v7）</t>
  </si>
  <si>
    <t>官方手册用于确认器件结构和额定参数；BOM中R+O器件仍应由采购归档对应供应商的可追溯原厂PDF。</t>
  </si>
  <si>
    <t>类型</t>
  </si>
  <si>
    <t>文件/器件</t>
  </si>
  <si>
    <t>确认内容</t>
  </si>
  <si>
    <t>来源URL/文件</t>
  </si>
  <si>
    <t>适用器件/接口</t>
  </si>
  <si>
    <t>设计文件</t>
  </si>
  <si>
    <t>base.tel</t>
  </si>
  <si>
    <t>以网表/base.tel 2026-10-04为当前统一入口；基板/base.tel为旧副本</t>
  </si>
  <si>
    <t>用户上传</t>
  </si>
  <si>
    <t>本表连接关系唯一依据</t>
  </si>
  <si>
    <t>新网表新增K15转向继电器及CN7.11/13/14 ROTATE接口；旧接地表述已修正</t>
  </si>
  <si>
    <t>BOM_Board1_Schematic1_2026-07-20(6).xlsx</t>
  </si>
  <si>
    <t>器件型号、封装、立创编号</t>
  </si>
  <si>
    <t>封装/型号依据</t>
  </si>
  <si>
    <t>本次未提供新版BOM，型号/封装沿用原文档</t>
  </si>
  <si>
    <t>对照文件</t>
  </si>
  <si>
    <t>硬件电路接口(1).xlsx</t>
  </si>
  <si>
    <t>板卡功能、电压和既有系统定义</t>
  </si>
  <si>
    <t>仅用于功能说明，连接仍以最新网表为准</t>
  </si>
  <si>
    <t>最新版</t>
  </si>
  <si>
    <t>官方手册</t>
  </si>
  <si>
    <t>OMRON G5Q</t>
  </si>
  <si>
    <t>SPDT底视图：1/5为线圈，2为COM，3为NO，4为NC；12V SPDT线圈约33.3mA</t>
  </si>
  <si>
    <t>https://omronfs.omron.com/en_US/ecb/products/pdf/en-g5q.pdf</t>
  </si>
  <si>
    <t>K2/K5/K6/K7/K8/K9/K11/K12/K13/K14</t>
  </si>
  <si>
    <t>本次按官方内部连接图修正全部触点逻辑</t>
  </si>
  <si>
    <t>HONGFA HF115F</t>
  </si>
  <si>
    <t>/024为24V线圈、2Z为双转换触点</t>
  </si>
  <si>
    <t>https://www.hongfa.com/Product/power-relay/HF115F</t>
  </si>
  <si>
    <t>RELAY1</t>
  </si>
  <si>
    <t>LITEON LTV-2X7-G</t>
  </si>
  <si>
    <t>LTV-217系列光耦，输入LED/输出光电三极管，CTR在IF=5mA条件定义</t>
  </si>
  <si>
    <t>https://optoelectronics.liteon.com/upload/download/DS70-2009-0016/LTV-2X7-G%20sereis%20Rev.H.PDF</t>
  </si>
  <si>
    <t>U15/U19/U20</t>
  </si>
  <si>
    <t>AOS AOD4185</t>
  </si>
  <si>
    <t>P沟道40V；RDS(on)&lt;20mΩ@VGS=-4.5V；TO-252 Gate/Drain/Source定义</t>
  </si>
  <si>
    <t>https://www.aosmd.com/res/datasheets/AOD4185.pdf</t>
  </si>
  <si>
    <t>Q2/Q3/Q4</t>
  </si>
  <si>
    <t>onsemi 2N7002K</t>
  </si>
  <si>
    <t>N沟道60V；低边开关；1=Gate、2=Source、3=Drain；RDS(on)最大2.5Ω@4.5V</t>
  </si>
  <si>
    <t>https://www.onsemi.com/download/data-sheet/pdf/2n7002k-d.pdf</t>
  </si>
  <si>
    <t>U16/U17/U18；BOM品牌需按供应商原厂资料复核</t>
  </si>
  <si>
    <t>Diodes BZT52C10S</t>
  </si>
  <si>
    <t>10V、200mW、SOD-323稳压管系列参数参考</t>
  </si>
  <si>
    <t>https://www.diodes.com/part/view/BZT52C10S</t>
  </si>
  <si>
    <t>D36/D38/D40；BOM品牌为R+O</t>
  </si>
  <si>
    <t>Diodes BZT52C4V7S</t>
  </si>
  <si>
    <t>4.7V、200mW、SOD-323稳压管系列参数参考</t>
  </si>
  <si>
    <t>https://www.diodes.com/part/view/BZT52C4V7S</t>
  </si>
  <si>
    <t>D21/D23；BOM品牌为R+O</t>
  </si>
  <si>
    <t>Panasonic ERJP08J242V</t>
  </si>
  <si>
    <t>2.4kΩ、1206、0.66W</t>
  </si>
  <si>
    <t>https://industrial.panasonic.com/ww/products/pt/small-and-high-power-chip-resistors/models/ERJP08J242V</t>
  </si>
  <si>
    <t>R22/R23/R28/R29/R32/R33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</si>
</sst>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sz val="10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sz val="9"/>
      <name val="宋体"/>
      <family val="3"/>
      <charset val="134"/>
    </font>
    <font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8"/>
    <xf numFmtId="0" fontId="6" fillId="0" borderId="8"/>
  </cellStyleXfs>
  <cellXfs count="40">
    <xf numFmtId="0" fontId="0" fillId="0" borderId="0" xfId="0" applyBorder="1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top" wrapText="1"/>
    </xf>
    <xf numFmtId="0" fontId="0" fillId="0" borderId="8" xfId="1" applyFont="1" applyAlignment="1">
      <alignment vertical="top" wrapText="1"/>
    </xf>
    <xf numFmtId="0" fontId="0" fillId="0" borderId="0" xfId="0" applyBorder="1" applyAlignment="1">
      <alignment wrapText="1"/>
    </xf>
    <xf numFmtId="0" fontId="0" fillId="0" borderId="4" xfId="1" applyFont="1" applyBorder="1" applyAlignment="1">
      <alignment vertical="center" wrapText="1"/>
    </xf>
    <xf numFmtId="0" fontId="0" fillId="0" borderId="0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9" borderId="0" xfId="1" applyFont="1" applyFill="1" applyBorder="1" applyAlignment="1">
      <alignment horizontal="center" vertical="center" wrapText="1"/>
    </xf>
    <xf numFmtId="0" fontId="4" fillId="10" borderId="0" xfId="1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4" fillId="5" borderId="0" xfId="1" applyFont="1" applyFill="1" applyBorder="1" applyAlignment="1">
      <alignment horizontal="center" vertical="center" wrapText="1"/>
    </xf>
    <xf numFmtId="0" fontId="4" fillId="6" borderId="0" xfId="1" applyFont="1" applyFill="1" applyBorder="1" applyAlignment="1">
      <alignment horizontal="center" vertical="center" wrapText="1"/>
    </xf>
    <xf numFmtId="0" fontId="4" fillId="8" borderId="0" xfId="1" applyFont="1" applyFill="1" applyBorder="1" applyAlignment="1">
      <alignment horizontal="center" vertical="center" wrapText="1"/>
    </xf>
    <xf numFmtId="0" fontId="4" fillId="7" borderId="0" xfId="1" applyFont="1" applyFill="1" applyBorder="1" applyAlignment="1">
      <alignment horizontal="center" vertical="center" wrapText="1"/>
    </xf>
    <xf numFmtId="0" fontId="6" fillId="0" borderId="0" xfId="1" applyBorder="1" applyAlignment="1">
      <alignment vertical="center" wrapText="1"/>
    </xf>
    <xf numFmtId="0" fontId="4" fillId="11" borderId="0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5" borderId="8" xfId="1" applyFont="1" applyFill="1" applyAlignment="1">
      <alignment horizontal="center" vertical="center" wrapText="1"/>
    </xf>
    <xf numFmtId="0" fontId="4" fillId="8" borderId="0" xfId="0" applyFont="1" applyFill="1" applyBorder="1" applyAlignment="1">
      <alignment vertical="center" wrapText="1"/>
    </xf>
    <xf numFmtId="0" fontId="4" fillId="13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vertical="center" wrapText="1"/>
    </xf>
    <xf numFmtId="0" fontId="4" fillId="15" borderId="0" xfId="0" applyFont="1" applyFill="1" applyBorder="1" applyAlignment="1">
      <alignment vertical="center" wrapText="1"/>
    </xf>
    <xf numFmtId="0" fontId="2" fillId="3" borderId="8" xfId="1" applyFont="1" applyFill="1" applyAlignment="1">
      <alignment vertical="center" wrapText="1"/>
    </xf>
    <xf numFmtId="0" fontId="0" fillId="0" borderId="0" xfId="0" applyBorder="1"/>
    <xf numFmtId="0" fontId="1" fillId="2" borderId="8" xfId="1" applyFont="1" applyFill="1" applyAlignment="1">
      <alignment horizontal="center" vertical="center" wrapText="1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ernalInterfaceV5" displayName="ExternalInterfaceV5" ref="A4:M76">
  <tableColumns count="13">
    <tableColumn id="1" xr3:uid="{00000000-0010-0000-0000-000001000000}" name="连接器"/>
    <tableColumn id="2" xr3:uid="{00000000-0010-0000-0000-000002000000}" name="针脚"/>
    <tableColumn id="3" xr3:uid="{00000000-0010-0000-0000-000003000000}" name="信号名"/>
    <tableColumn id="4" xr3:uid="{00000000-0010-0000-0000-000004000000}" name="方向"/>
    <tableColumn id="5" xr3:uid="{00000000-0010-0000-0000-000005000000}" name="类别/结构"/>
    <tableColumn id="6" xr3:uid="{00000000-0010-0000-0000-000006000000}" name="标称电压/电流"/>
    <tableColumn id="7" xr3:uid="{00000000-0010-0000-0000-000007000000}" name="有效逻辑/工作条件"/>
    <tableColumn id="8" xr3:uid="{00000000-0010-0000-0000-000008000000}" name="无效/掉电/断线状态"/>
    <tableColumn id="9" xr3:uid="{00000000-0010-0000-0000-000009000000}" name="内部连接与处理"/>
    <tableColumn id="10" xr3:uid="{00000000-0010-0000-0000-00000A000000}" name="外部接线/负载要求"/>
    <tableColumn id="11" xr3:uid="{00000000-0010-0000-0000-00000B000000}" name="最新网表节点"/>
    <tableColumn id="12" xr3:uid="{00000000-0010-0000-0000-00000C000000}" name="状态"/>
    <tableColumn id="13" xr3:uid="{00000000-0010-0000-0000-00000D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ardHeadersV5" displayName="BoardHeadersV5" ref="A4:J51">
  <tableColumns count="10">
    <tableColumn id="1" xr3:uid="{00000000-0010-0000-0100-000001000000}" name="排针"/>
    <tableColumn id="2" xr3:uid="{00000000-0010-0000-0100-000002000000}" name="针脚"/>
    <tableColumn id="3" xr3:uid="{00000000-0010-0000-0100-000003000000}" name="信号名"/>
    <tableColumn id="4" xr3:uid="{00000000-0010-0000-0100-000004000000}" name="所属板卡"/>
    <tableColumn id="5" xr3:uid="{00000000-0010-0000-0100-000005000000}" name="方向（相对板卡）"/>
    <tableColumn id="6" xr3:uid="{00000000-0010-0000-0100-000006000000}" name="标称电平/类型"/>
    <tableColumn id="7" xr3:uid="{00000000-0010-0000-0100-000007000000}" name="基板连接来源/去向"/>
    <tableColumn id="8" xr3:uid="{00000000-0010-0000-0100-000008000000}" name="最新网表节点"/>
    <tableColumn id="9" xr3:uid="{00000000-0010-0000-0100-000009000000}" name="定义与用途"/>
    <tableColumn id="10" xr3:uid="{00000000-0010-0000-0100-00000A000000}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CUIOV5" displayName="VCUIOV5" ref="A4:G24">
  <tableColumns count="7">
    <tableColumn id="1" xr3:uid="{00000000-0010-0000-0200-000001000000}" name="接口"/>
    <tableColumn id="2" xr3:uid="{00000000-0010-0000-0200-000002000000}" name="信号"/>
    <tableColumn id="3" xr3:uid="{00000000-0010-0000-0200-000003000000}" name="方向"/>
    <tableColumn id="4" xr3:uid="{00000000-0010-0000-0200-000004000000}" name="电气类型"/>
    <tableColumn id="5" xr3:uid="{00000000-0010-0000-0200-000005000000}" name="有效电平/电流"/>
    <tableColumn id="6" xr3:uid="{00000000-0010-0000-0200-000006000000}" name="功能与默认状态"/>
    <tableColumn id="7" xr3:uid="{00000000-0010-0000-0200-000007000000}" name="实现/注意事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rfaceIssuesV5" displayName="InterfaceIssuesV5" ref="A4:G13">
  <tableColumns count="7">
    <tableColumn id="1" xr3:uid="{00000000-0010-0000-0300-000001000000}" name="编号"/>
    <tableColumn id="2" xr3:uid="{00000000-0010-0000-0300-000002000000}" name="优先级"/>
    <tableColumn id="3" xr3:uid="{00000000-0010-0000-0300-000003000000}" name="事项"/>
    <tableColumn id="4" xr3:uid="{00000000-0010-0000-0300-000004000000}" name="网表/设计依据"/>
    <tableColumn id="5" xr3:uid="{00000000-0010-0000-0300-000005000000}" name="风险"/>
    <tableColumn id="6" xr3:uid="{00000000-0010-0000-0300-000006000000}" name="关闭动作"/>
    <tableColumn id="7" xr3:uid="{00000000-0010-0000-0300-000007000000}" name="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V5" displayName="SourcesV5" ref="A4:F15">
  <tableColumns count="6">
    <tableColumn id="1" xr3:uid="{00000000-0010-0000-0400-000001000000}" name="类型"/>
    <tableColumn id="2" xr3:uid="{00000000-0010-0000-0400-000002000000}" name="文件/器件"/>
    <tableColumn id="3" xr3:uid="{00000000-0010-0000-0400-000003000000}" name="确认内容"/>
    <tableColumn id="4" xr3:uid="{00000000-0010-0000-0400-000004000000}" name="来源URL/文件"/>
    <tableColumn id="5" xr3:uid="{00000000-0010-0000-0400-000005000000}" name="适用器件/接口"/>
    <tableColumn id="6" xr3:uid="{00000000-0010-0000-0400-000006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defaultRowHeight="13.6"/>
  <cols>
    <col min="1" max="1" width="22" customWidth="1"/>
    <col min="2" max="2" width="35" customWidth="1"/>
    <col min="3" max="3" width="22" customWidth="1"/>
    <col min="4" max="4" width="35" customWidth="1"/>
    <col min="5" max="5" width="22" customWidth="1"/>
    <col min="6" max="6" width="35" customWidth="1"/>
    <col min="7" max="7" width="22" customWidth="1"/>
    <col min="8" max="8" width="35" customWidth="1"/>
  </cols>
  <sheetData>
    <row r="1" spans="1:8" ht="22.25" customHeight="1">
      <c r="A1" s="39" t="s">
        <v>0</v>
      </c>
      <c r="B1" s="38"/>
      <c r="C1" s="38"/>
      <c r="D1" s="38"/>
      <c r="E1" s="38"/>
      <c r="F1" s="38"/>
      <c r="G1" s="38"/>
      <c r="H1" s="38"/>
    </row>
    <row r="2" spans="1:8">
      <c r="A2" s="37" t="s">
        <v>1</v>
      </c>
      <c r="B2" s="38"/>
      <c r="C2" s="38"/>
      <c r="D2" s="38"/>
      <c r="E2" s="38"/>
      <c r="F2" s="38"/>
      <c r="G2" s="38"/>
      <c r="H2" s="38"/>
    </row>
    <row r="4" spans="1:8" ht="22.1" customHeight="1">
      <c r="A4" s="1" t="s">
        <v>2</v>
      </c>
      <c r="B4" s="2" t="s">
        <v>3</v>
      </c>
      <c r="C4" s="2" t="s">
        <v>2</v>
      </c>
      <c r="D4" s="2" t="s">
        <v>3</v>
      </c>
      <c r="E4" s="2" t="s">
        <v>2</v>
      </c>
      <c r="F4" s="2" t="s">
        <v>3</v>
      </c>
      <c r="G4" s="2" t="s">
        <v>2</v>
      </c>
      <c r="H4" s="3" t="s">
        <v>3</v>
      </c>
    </row>
    <row r="5" spans="1:8" ht="34" customHeight="1">
      <c r="A5" s="7" t="s">
        <v>4</v>
      </c>
      <c r="B5" s="8">
        <f>COUNTA('外部接口CN7-CN12'!A5:A76)</f>
        <v>72</v>
      </c>
      <c r="C5" s="8" t="s">
        <v>5</v>
      </c>
      <c r="D5" s="8">
        <f>COUNTA('板卡排针H1-H20'!A5:A51)</f>
        <v>47</v>
      </c>
      <c r="E5" s="8" t="s">
        <v>6</v>
      </c>
      <c r="F5" s="8">
        <f>COUNTIF('外部接口CN7-CN12'!L5:L76,"NC")</f>
        <v>5</v>
      </c>
      <c r="G5" s="8" t="s">
        <v>7</v>
      </c>
      <c r="H5" s="9">
        <f>COUNTIF('外部接口CN7-CN12'!L5:L76,"悬空")</f>
        <v>0</v>
      </c>
    </row>
    <row r="6" spans="1:8" ht="34" customHeight="1">
      <c r="A6" s="10" t="s">
        <v>8</v>
      </c>
      <c r="B6" s="11">
        <f>COUNTIF('外部接口CN7-CN12'!L5:L76,"正常")</f>
        <v>40</v>
      </c>
      <c r="C6" s="11" t="s">
        <v>9</v>
      </c>
      <c r="D6" s="11">
        <f>B5-B6-F5-H5</f>
        <v>27</v>
      </c>
      <c r="E6" s="11" t="s">
        <v>10</v>
      </c>
      <c r="F6" s="11">
        <v>3</v>
      </c>
      <c r="G6" s="11" t="s">
        <v>11</v>
      </c>
      <c r="H6" s="12">
        <v>3</v>
      </c>
    </row>
    <row r="7" spans="1:8" ht="22.1" customHeight="1"/>
    <row r="8" spans="1:8" ht="22.1" customHeight="1">
      <c r="A8" s="1" t="s">
        <v>12</v>
      </c>
      <c r="B8" s="2" t="s">
        <v>13</v>
      </c>
      <c r="C8" s="2" t="s">
        <v>12</v>
      </c>
      <c r="D8" s="2" t="s">
        <v>13</v>
      </c>
      <c r="E8" s="2" t="s">
        <v>14</v>
      </c>
      <c r="F8" s="2" t="s">
        <v>13</v>
      </c>
      <c r="G8" s="2" t="s">
        <v>14</v>
      </c>
      <c r="H8" s="3" t="s">
        <v>13</v>
      </c>
    </row>
    <row r="9" spans="1:8" ht="46.05" customHeight="1">
      <c r="A9" s="7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9" t="s">
        <v>22</v>
      </c>
    </row>
    <row r="10" spans="1:8" ht="46.05" customHeight="1">
      <c r="A10" s="10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1" t="s">
        <v>29</v>
      </c>
      <c r="H10" s="12" t="s">
        <v>30</v>
      </c>
    </row>
    <row r="11" spans="1:8" ht="22.1" customHeight="1"/>
    <row r="12" spans="1:8" ht="22.1" customHeight="1">
      <c r="A12" s="1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37</v>
      </c>
      <c r="H12" s="3" t="s">
        <v>38</v>
      </c>
    </row>
    <row r="13" spans="1:8" ht="34" customHeight="1">
      <c r="A13" s="13" t="s">
        <v>39</v>
      </c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  <c r="G13" s="13" t="s">
        <v>45</v>
      </c>
      <c r="H13" s="13" t="s">
        <v>46</v>
      </c>
    </row>
    <row r="14" spans="1:8" ht="22.1" customHeight="1">
      <c r="A14" s="13" t="s">
        <v>47</v>
      </c>
      <c r="B14" s="13" t="s">
        <v>48</v>
      </c>
      <c r="C14" s="13" t="s">
        <v>49</v>
      </c>
      <c r="D14" s="13" t="s">
        <v>50</v>
      </c>
      <c r="E14" s="13" t="s">
        <v>51</v>
      </c>
      <c r="F14" s="13" t="s">
        <v>52</v>
      </c>
      <c r="G14" s="13" t="s">
        <v>53</v>
      </c>
      <c r="H14" s="13" t="s">
        <v>54</v>
      </c>
    </row>
    <row r="15" spans="1:8" ht="34" customHeight="1">
      <c r="A15" s="13" t="s">
        <v>55</v>
      </c>
      <c r="B15" s="13" t="s">
        <v>56</v>
      </c>
      <c r="C15" s="13" t="s">
        <v>57</v>
      </c>
      <c r="D15" s="13" t="s">
        <v>58</v>
      </c>
      <c r="E15" s="13" t="s">
        <v>59</v>
      </c>
      <c r="F15" s="13" t="s">
        <v>60</v>
      </c>
      <c r="G15" s="13" t="s">
        <v>61</v>
      </c>
      <c r="H15" s="13" t="s">
        <v>46</v>
      </c>
    </row>
    <row r="16" spans="1:8" ht="23.95" customHeight="1">
      <c r="A16" s="6"/>
      <c r="B16" s="6"/>
      <c r="C16" s="6"/>
      <c r="D16" s="6"/>
      <c r="E16" s="6"/>
      <c r="F16" s="6"/>
      <c r="G16" s="6"/>
      <c r="H16" s="6"/>
    </row>
    <row r="17" ht="29.05" customHeight="1"/>
  </sheetData>
  <mergeCells count="2">
    <mergeCell ref="A2:H2"/>
    <mergeCell ref="A1:H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opLeftCell="A16" workbookViewId="0">
      <selection sqref="A1:M1"/>
    </sheetView>
  </sheetViews>
  <sheetFormatPr defaultRowHeight="13.6"/>
  <cols>
    <col min="1" max="1" width="9" customWidth="1"/>
    <col min="2" max="2" width="7" customWidth="1"/>
    <col min="3" max="3" width="27" customWidth="1"/>
    <col min="4" max="4" width="16" customWidth="1"/>
    <col min="5" max="5" width="25" customWidth="1"/>
    <col min="6" max="6" width="13" customWidth="1"/>
    <col min="7" max="7" width="42" customWidth="1"/>
    <col min="8" max="8" width="13" customWidth="1"/>
    <col min="9" max="9" width="48" customWidth="1"/>
    <col min="10" max="10" width="45" customWidth="1"/>
    <col min="11" max="11" width="13" customWidth="1"/>
    <col min="12" max="12" width="15" customWidth="1"/>
    <col min="13" max="13" width="38" customWidth="1"/>
  </cols>
  <sheetData>
    <row r="1" spans="1:13" ht="21.1" customHeight="1">
      <c r="A1" s="39" t="s">
        <v>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7" t="s">
        <v>63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4" spans="1:13" ht="34" customHeight="1">
      <c r="A4" s="1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74</v>
      </c>
      <c r="L4" s="2" t="s">
        <v>38</v>
      </c>
      <c r="M4" s="3" t="s">
        <v>75</v>
      </c>
    </row>
    <row r="5" spans="1:13" ht="58.1" customHeight="1">
      <c r="A5" s="7" t="s">
        <v>76</v>
      </c>
      <c r="B5" s="8">
        <v>1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14" t="s">
        <v>86</v>
      </c>
      <c r="M5" s="9" t="s">
        <v>87</v>
      </c>
    </row>
    <row r="6" spans="1:13" ht="34" customHeight="1">
      <c r="A6" s="7" t="s">
        <v>76</v>
      </c>
      <c r="B6" s="8">
        <v>2</v>
      </c>
      <c r="C6" s="8" t="s">
        <v>88</v>
      </c>
      <c r="D6" s="8" t="s">
        <v>78</v>
      </c>
      <c r="E6" s="8" t="s">
        <v>79</v>
      </c>
      <c r="F6" s="8" t="s">
        <v>80</v>
      </c>
      <c r="G6" s="8" t="s">
        <v>89</v>
      </c>
      <c r="H6" s="8" t="s">
        <v>90</v>
      </c>
      <c r="I6" s="8" t="s">
        <v>91</v>
      </c>
      <c r="J6" s="8" t="s">
        <v>92</v>
      </c>
      <c r="K6" s="8" t="s">
        <v>93</v>
      </c>
      <c r="L6" s="14" t="s">
        <v>86</v>
      </c>
      <c r="M6" s="4"/>
    </row>
    <row r="7" spans="1:13" ht="82.05" customHeight="1">
      <c r="A7" s="7" t="s">
        <v>76</v>
      </c>
      <c r="B7" s="8">
        <v>3</v>
      </c>
      <c r="C7" s="8" t="s">
        <v>94</v>
      </c>
      <c r="D7" s="8" t="s">
        <v>78</v>
      </c>
      <c r="E7" s="8" t="s">
        <v>95</v>
      </c>
      <c r="F7" s="8" t="s">
        <v>96</v>
      </c>
      <c r="G7" s="8" t="s">
        <v>97</v>
      </c>
      <c r="H7" s="8" t="s">
        <v>98</v>
      </c>
      <c r="I7" s="8" t="s">
        <v>99</v>
      </c>
      <c r="J7" s="8" t="s">
        <v>100</v>
      </c>
      <c r="K7" s="8" t="s">
        <v>101</v>
      </c>
      <c r="L7" s="15" t="s">
        <v>102</v>
      </c>
      <c r="M7" s="9" t="s">
        <v>103</v>
      </c>
    </row>
    <row r="8" spans="1:13" ht="58.1" customHeight="1">
      <c r="A8" s="7" t="s">
        <v>76</v>
      </c>
      <c r="B8" s="8">
        <v>4</v>
      </c>
      <c r="C8" s="8" t="s">
        <v>104</v>
      </c>
      <c r="D8" s="8" t="s">
        <v>78</v>
      </c>
      <c r="E8" s="8" t="s">
        <v>95</v>
      </c>
      <c r="F8" s="8" t="s">
        <v>96</v>
      </c>
      <c r="G8" s="8" t="s">
        <v>105</v>
      </c>
      <c r="H8" s="8" t="s">
        <v>106</v>
      </c>
      <c r="I8" s="8" t="s">
        <v>107</v>
      </c>
      <c r="J8" s="8" t="s">
        <v>108</v>
      </c>
      <c r="K8" s="8" t="s">
        <v>109</v>
      </c>
      <c r="L8" s="15" t="s">
        <v>102</v>
      </c>
      <c r="M8" s="4"/>
    </row>
    <row r="9" spans="1:13" ht="58.1" customHeight="1">
      <c r="A9" s="7" t="s">
        <v>76</v>
      </c>
      <c r="B9" s="8">
        <v>5</v>
      </c>
      <c r="C9" s="8" t="s">
        <v>110</v>
      </c>
      <c r="D9" s="8" t="s">
        <v>78</v>
      </c>
      <c r="E9" s="8" t="s">
        <v>111</v>
      </c>
      <c r="F9" s="8" t="s">
        <v>80</v>
      </c>
      <c r="G9" s="8" t="s">
        <v>112</v>
      </c>
      <c r="H9" s="8" t="s">
        <v>113</v>
      </c>
      <c r="I9" s="8" t="s">
        <v>114</v>
      </c>
      <c r="J9" s="8" t="s">
        <v>115</v>
      </c>
      <c r="K9" s="8" t="s">
        <v>116</v>
      </c>
      <c r="L9" s="16" t="s">
        <v>86</v>
      </c>
      <c r="M9" s="9" t="s">
        <v>117</v>
      </c>
    </row>
    <row r="10" spans="1:13" ht="46.05" customHeight="1">
      <c r="A10" s="7" t="s">
        <v>76</v>
      </c>
      <c r="B10" s="8">
        <v>6</v>
      </c>
      <c r="C10" s="8" t="s">
        <v>118</v>
      </c>
      <c r="D10" s="8" t="s">
        <v>78</v>
      </c>
      <c r="E10" s="8" t="s">
        <v>79</v>
      </c>
      <c r="F10" s="8" t="s">
        <v>80</v>
      </c>
      <c r="G10" s="8" t="s">
        <v>119</v>
      </c>
      <c r="H10" s="8" t="s">
        <v>120</v>
      </c>
      <c r="I10" s="8" t="s">
        <v>121</v>
      </c>
      <c r="J10" s="8" t="s">
        <v>122</v>
      </c>
      <c r="K10" s="8" t="s">
        <v>123</v>
      </c>
      <c r="L10" s="17" t="s">
        <v>102</v>
      </c>
      <c r="M10" s="4"/>
    </row>
    <row r="11" spans="1:13" ht="46.05" customHeight="1">
      <c r="A11" s="7" t="s">
        <v>76</v>
      </c>
      <c r="B11" s="8">
        <v>7</v>
      </c>
      <c r="C11" s="8" t="s">
        <v>124</v>
      </c>
      <c r="D11" s="8" t="s">
        <v>78</v>
      </c>
      <c r="E11" s="8" t="s">
        <v>95</v>
      </c>
      <c r="F11" s="8" t="s">
        <v>96</v>
      </c>
      <c r="G11" s="8" t="s">
        <v>125</v>
      </c>
      <c r="H11" s="8" t="s">
        <v>126</v>
      </c>
      <c r="I11" s="8" t="s">
        <v>127</v>
      </c>
      <c r="J11" s="8" t="s">
        <v>128</v>
      </c>
      <c r="K11" s="8" t="s">
        <v>129</v>
      </c>
      <c r="L11" s="17" t="s">
        <v>102</v>
      </c>
      <c r="M11" s="4"/>
    </row>
    <row r="12" spans="1:13" ht="46.05" customHeight="1">
      <c r="A12" s="7" t="s">
        <v>76</v>
      </c>
      <c r="B12" s="8">
        <v>8</v>
      </c>
      <c r="C12" s="8" t="s">
        <v>130</v>
      </c>
      <c r="D12" s="8" t="s">
        <v>78</v>
      </c>
      <c r="E12" s="8" t="s">
        <v>95</v>
      </c>
      <c r="F12" s="8" t="s">
        <v>96</v>
      </c>
      <c r="G12" s="8" t="s">
        <v>131</v>
      </c>
      <c r="H12" s="8" t="s">
        <v>126</v>
      </c>
      <c r="I12" s="8" t="s">
        <v>132</v>
      </c>
      <c r="J12" s="8" t="s">
        <v>133</v>
      </c>
      <c r="K12" s="8" t="s">
        <v>134</v>
      </c>
      <c r="L12" s="17" t="s">
        <v>102</v>
      </c>
      <c r="M12" s="4"/>
    </row>
    <row r="13" spans="1:13" ht="46.05" customHeight="1">
      <c r="A13" s="7" t="s">
        <v>76</v>
      </c>
      <c r="B13" s="8">
        <v>9</v>
      </c>
      <c r="C13" s="8" t="s">
        <v>135</v>
      </c>
      <c r="D13" s="8" t="s">
        <v>78</v>
      </c>
      <c r="E13" s="8" t="s">
        <v>95</v>
      </c>
      <c r="F13" s="8" t="s">
        <v>96</v>
      </c>
      <c r="G13" s="8" t="s">
        <v>136</v>
      </c>
      <c r="H13" s="8" t="s">
        <v>126</v>
      </c>
      <c r="I13" s="8" t="s">
        <v>137</v>
      </c>
      <c r="J13" s="8" t="s">
        <v>138</v>
      </c>
      <c r="K13" s="8" t="s">
        <v>139</v>
      </c>
      <c r="L13" s="17" t="s">
        <v>102</v>
      </c>
      <c r="M13" s="4"/>
    </row>
    <row r="14" spans="1:13" ht="48.1" customHeight="1">
      <c r="A14" s="7" t="s">
        <v>76</v>
      </c>
      <c r="B14" s="8">
        <v>10</v>
      </c>
      <c r="C14" s="8" t="s">
        <v>140</v>
      </c>
      <c r="D14" s="8" t="s">
        <v>141</v>
      </c>
      <c r="E14" s="8" t="s">
        <v>142</v>
      </c>
      <c r="F14" s="8" t="s">
        <v>143</v>
      </c>
      <c r="G14" s="8" t="s">
        <v>144</v>
      </c>
      <c r="H14" s="8" t="s">
        <v>144</v>
      </c>
      <c r="I14" s="8" t="s">
        <v>145</v>
      </c>
      <c r="J14" s="8" t="s">
        <v>146</v>
      </c>
      <c r="K14" s="8" t="s">
        <v>147</v>
      </c>
      <c r="L14" s="18" t="s">
        <v>86</v>
      </c>
      <c r="M14" s="4"/>
    </row>
    <row r="15" spans="1:13" ht="95.1" customHeight="1">
      <c r="A15" s="7" t="s">
        <v>76</v>
      </c>
      <c r="B15" s="8">
        <v>11</v>
      </c>
      <c r="C15" s="8" t="s">
        <v>148</v>
      </c>
      <c r="D15" s="8" t="s">
        <v>149</v>
      </c>
      <c r="E15" s="8" t="s">
        <v>150</v>
      </c>
      <c r="F15" s="8" t="s">
        <v>151</v>
      </c>
      <c r="G15" s="8" t="s">
        <v>152</v>
      </c>
      <c r="H15" s="8" t="s">
        <v>153</v>
      </c>
      <c r="I15" s="8" t="s">
        <v>154</v>
      </c>
      <c r="J15" s="8" t="s">
        <v>155</v>
      </c>
      <c r="K15" s="8" t="s">
        <v>156</v>
      </c>
      <c r="L15" s="19" t="s">
        <v>157</v>
      </c>
      <c r="M15" s="9" t="s">
        <v>158</v>
      </c>
    </row>
    <row r="16" spans="1:13" ht="46.05" customHeight="1">
      <c r="A16" s="7" t="s">
        <v>76</v>
      </c>
      <c r="B16" s="8">
        <v>12</v>
      </c>
      <c r="C16" s="8" t="s">
        <v>159</v>
      </c>
      <c r="D16" s="8" t="s">
        <v>78</v>
      </c>
      <c r="E16" s="8" t="s">
        <v>79</v>
      </c>
      <c r="F16" s="8" t="s">
        <v>80</v>
      </c>
      <c r="G16" s="8" t="s">
        <v>160</v>
      </c>
      <c r="H16" s="8" t="s">
        <v>126</v>
      </c>
      <c r="I16" s="8" t="s">
        <v>161</v>
      </c>
      <c r="J16" s="8" t="s">
        <v>162</v>
      </c>
      <c r="K16" s="8" t="s">
        <v>163</v>
      </c>
      <c r="L16" s="17" t="s">
        <v>102</v>
      </c>
      <c r="M16" s="4"/>
    </row>
    <row r="17" spans="1:13" ht="95.1" customHeight="1">
      <c r="A17" s="7" t="s">
        <v>76</v>
      </c>
      <c r="B17" s="8">
        <v>13</v>
      </c>
      <c r="C17" s="8" t="s">
        <v>164</v>
      </c>
      <c r="D17" s="8" t="s">
        <v>149</v>
      </c>
      <c r="E17" s="8" t="s">
        <v>150</v>
      </c>
      <c r="F17" s="8" t="s">
        <v>151</v>
      </c>
      <c r="G17" s="8" t="s">
        <v>152</v>
      </c>
      <c r="H17" s="8" t="s">
        <v>153</v>
      </c>
      <c r="I17" s="8" t="s">
        <v>165</v>
      </c>
      <c r="J17" s="8" t="s">
        <v>155</v>
      </c>
      <c r="K17" s="8" t="s">
        <v>166</v>
      </c>
      <c r="L17" s="19" t="s">
        <v>157</v>
      </c>
      <c r="M17" s="9" t="s">
        <v>158</v>
      </c>
    </row>
    <row r="18" spans="1:13" ht="95.1" customHeight="1">
      <c r="A18" s="7" t="s">
        <v>76</v>
      </c>
      <c r="B18" s="8">
        <v>14</v>
      </c>
      <c r="C18" s="8" t="s">
        <v>167</v>
      </c>
      <c r="D18" s="8" t="s">
        <v>149</v>
      </c>
      <c r="E18" s="8" t="s">
        <v>150</v>
      </c>
      <c r="F18" s="8" t="s">
        <v>151</v>
      </c>
      <c r="G18" s="8" t="s">
        <v>152</v>
      </c>
      <c r="H18" s="8" t="s">
        <v>153</v>
      </c>
      <c r="I18" s="8" t="s">
        <v>168</v>
      </c>
      <c r="J18" s="8" t="s">
        <v>155</v>
      </c>
      <c r="K18" s="8" t="s">
        <v>169</v>
      </c>
      <c r="L18" s="19" t="s">
        <v>157</v>
      </c>
      <c r="M18" s="9" t="s">
        <v>158</v>
      </c>
    </row>
    <row r="19" spans="1:13" ht="46.05" customHeight="1">
      <c r="A19" s="7" t="s">
        <v>76</v>
      </c>
      <c r="B19" s="8">
        <v>15</v>
      </c>
      <c r="C19" s="8" t="s">
        <v>170</v>
      </c>
      <c r="D19" s="8" t="s">
        <v>171</v>
      </c>
      <c r="E19" s="8" t="s">
        <v>172</v>
      </c>
      <c r="F19" s="8" t="s">
        <v>173</v>
      </c>
      <c r="G19" s="8" t="s">
        <v>174</v>
      </c>
      <c r="H19" s="8" t="s">
        <v>175</v>
      </c>
      <c r="I19" s="8" t="s">
        <v>176</v>
      </c>
      <c r="J19" s="8" t="s">
        <v>177</v>
      </c>
      <c r="K19" s="8" t="s">
        <v>178</v>
      </c>
      <c r="L19" s="18" t="s">
        <v>86</v>
      </c>
      <c r="M19" s="4"/>
    </row>
    <row r="20" spans="1:13" ht="46.05" customHeight="1">
      <c r="A20" s="7" t="s">
        <v>76</v>
      </c>
      <c r="B20" s="8">
        <v>16</v>
      </c>
      <c r="C20" s="8" t="s">
        <v>179</v>
      </c>
      <c r="D20" s="8" t="s">
        <v>171</v>
      </c>
      <c r="E20" s="8" t="s">
        <v>180</v>
      </c>
      <c r="F20" s="8" t="s">
        <v>181</v>
      </c>
      <c r="G20" s="8" t="s">
        <v>182</v>
      </c>
      <c r="H20" s="8" t="s">
        <v>183</v>
      </c>
      <c r="I20" s="8" t="s">
        <v>184</v>
      </c>
      <c r="J20" s="8" t="s">
        <v>185</v>
      </c>
      <c r="K20" s="8" t="s">
        <v>186</v>
      </c>
      <c r="L20" s="16" t="s">
        <v>86</v>
      </c>
      <c r="M20" s="9" t="s">
        <v>187</v>
      </c>
    </row>
    <row r="21" spans="1:13" ht="46.05" customHeight="1">
      <c r="A21" s="7" t="s">
        <v>76</v>
      </c>
      <c r="B21" s="8">
        <v>17</v>
      </c>
      <c r="C21" s="8" t="s">
        <v>188</v>
      </c>
      <c r="D21" s="8" t="s">
        <v>171</v>
      </c>
      <c r="E21" s="8" t="s">
        <v>172</v>
      </c>
      <c r="F21" s="8" t="s">
        <v>173</v>
      </c>
      <c r="G21" s="8" t="s">
        <v>189</v>
      </c>
      <c r="H21" s="8" t="s">
        <v>190</v>
      </c>
      <c r="I21" s="8" t="s">
        <v>191</v>
      </c>
      <c r="J21" s="8" t="s">
        <v>192</v>
      </c>
      <c r="K21" s="8" t="s">
        <v>193</v>
      </c>
      <c r="L21" s="15" t="s">
        <v>102</v>
      </c>
      <c r="M21" s="4"/>
    </row>
    <row r="22" spans="1:13" ht="46.05" customHeight="1">
      <c r="A22" s="7" t="s">
        <v>76</v>
      </c>
      <c r="B22" s="8">
        <v>18</v>
      </c>
      <c r="C22" s="8" t="s">
        <v>194</v>
      </c>
      <c r="D22" s="8" t="s">
        <v>171</v>
      </c>
      <c r="E22" s="8" t="s">
        <v>172</v>
      </c>
      <c r="F22" s="8" t="s">
        <v>173</v>
      </c>
      <c r="G22" s="8" t="s">
        <v>195</v>
      </c>
      <c r="H22" s="8" t="s">
        <v>196</v>
      </c>
      <c r="I22" s="8" t="s">
        <v>197</v>
      </c>
      <c r="J22" s="8" t="s">
        <v>192</v>
      </c>
      <c r="K22" s="8" t="s">
        <v>198</v>
      </c>
      <c r="L22" s="15" t="s">
        <v>102</v>
      </c>
      <c r="M22" s="4"/>
    </row>
    <row r="23" spans="1:13" ht="58.1" customHeight="1">
      <c r="A23" s="7" t="s">
        <v>76</v>
      </c>
      <c r="B23" s="8">
        <v>19</v>
      </c>
      <c r="C23" s="8" t="s">
        <v>199</v>
      </c>
      <c r="D23" s="8" t="s">
        <v>171</v>
      </c>
      <c r="E23" s="8" t="s">
        <v>180</v>
      </c>
      <c r="F23" s="8" t="s">
        <v>181</v>
      </c>
      <c r="G23" s="8" t="s">
        <v>200</v>
      </c>
      <c r="H23" s="8" t="s">
        <v>201</v>
      </c>
      <c r="I23" s="8" t="s">
        <v>202</v>
      </c>
      <c r="J23" s="8" t="s">
        <v>203</v>
      </c>
      <c r="K23" s="8" t="s">
        <v>204</v>
      </c>
      <c r="L23" s="20" t="s">
        <v>86</v>
      </c>
      <c r="M23" s="4"/>
    </row>
    <row r="24" spans="1:13" ht="58.1" customHeight="1">
      <c r="A24" s="7" t="s">
        <v>76</v>
      </c>
      <c r="B24" s="8">
        <v>20</v>
      </c>
      <c r="C24" s="8" t="s">
        <v>205</v>
      </c>
      <c r="D24" s="8" t="s">
        <v>171</v>
      </c>
      <c r="E24" s="8" t="s">
        <v>180</v>
      </c>
      <c r="F24" s="8" t="s">
        <v>181</v>
      </c>
      <c r="G24" s="8" t="s">
        <v>206</v>
      </c>
      <c r="H24" s="8" t="s">
        <v>207</v>
      </c>
      <c r="I24" s="8" t="s">
        <v>208</v>
      </c>
      <c r="J24" s="8" t="s">
        <v>203</v>
      </c>
      <c r="K24" s="8" t="s">
        <v>209</v>
      </c>
      <c r="L24" s="20" t="s">
        <v>86</v>
      </c>
      <c r="M24" s="4"/>
    </row>
    <row r="25" spans="1:13" ht="70" customHeight="1">
      <c r="A25" s="7" t="s">
        <v>210</v>
      </c>
      <c r="B25" s="8">
        <v>1</v>
      </c>
      <c r="C25" s="8" t="s">
        <v>211</v>
      </c>
      <c r="D25" s="8" t="s">
        <v>171</v>
      </c>
      <c r="E25" s="8" t="s">
        <v>212</v>
      </c>
      <c r="F25" s="8" t="s">
        <v>213</v>
      </c>
      <c r="G25" s="8" t="s">
        <v>214</v>
      </c>
      <c r="H25" s="8" t="s">
        <v>215</v>
      </c>
      <c r="I25" s="8" t="s">
        <v>216</v>
      </c>
      <c r="J25" s="8" t="s">
        <v>217</v>
      </c>
      <c r="K25" s="8" t="s">
        <v>218</v>
      </c>
      <c r="L25" s="21" t="s">
        <v>102</v>
      </c>
      <c r="M25" s="9" t="s">
        <v>219</v>
      </c>
    </row>
    <row r="26" spans="1:13" ht="70" customHeight="1">
      <c r="A26" s="7" t="s">
        <v>210</v>
      </c>
      <c r="B26" s="8">
        <v>2</v>
      </c>
      <c r="C26" s="8" t="s">
        <v>220</v>
      </c>
      <c r="D26" s="8" t="s">
        <v>171</v>
      </c>
      <c r="E26" s="8" t="s">
        <v>212</v>
      </c>
      <c r="F26" s="8" t="s">
        <v>213</v>
      </c>
      <c r="G26" s="8" t="s">
        <v>221</v>
      </c>
      <c r="H26" s="8" t="s">
        <v>215</v>
      </c>
      <c r="I26" s="8" t="s">
        <v>222</v>
      </c>
      <c r="J26" s="8" t="s">
        <v>217</v>
      </c>
      <c r="K26" s="8" t="s">
        <v>223</v>
      </c>
      <c r="L26" s="21" t="s">
        <v>102</v>
      </c>
      <c r="M26" s="9" t="s">
        <v>219</v>
      </c>
    </row>
    <row r="27" spans="1:13" ht="70" customHeight="1">
      <c r="A27" s="7" t="s">
        <v>210</v>
      </c>
      <c r="B27" s="8">
        <v>3</v>
      </c>
      <c r="C27" s="8" t="s">
        <v>224</v>
      </c>
      <c r="D27" s="8" t="s">
        <v>171</v>
      </c>
      <c r="E27" s="8" t="s">
        <v>212</v>
      </c>
      <c r="F27" s="8" t="s">
        <v>213</v>
      </c>
      <c r="G27" s="8" t="s">
        <v>225</v>
      </c>
      <c r="H27" s="8" t="s">
        <v>215</v>
      </c>
      <c r="I27" s="8" t="s">
        <v>226</v>
      </c>
      <c r="J27" s="8" t="s">
        <v>217</v>
      </c>
      <c r="K27" s="8" t="s">
        <v>227</v>
      </c>
      <c r="L27" s="21" t="s">
        <v>102</v>
      </c>
      <c r="M27" s="9" t="s">
        <v>219</v>
      </c>
    </row>
    <row r="28" spans="1:13" ht="58.1" customHeight="1">
      <c r="A28" s="7" t="s">
        <v>210</v>
      </c>
      <c r="B28" s="8">
        <v>4</v>
      </c>
      <c r="C28" s="8" t="s">
        <v>228</v>
      </c>
      <c r="D28" s="8" t="s">
        <v>229</v>
      </c>
      <c r="E28" s="8" t="s">
        <v>230</v>
      </c>
      <c r="F28" s="8" t="s">
        <v>231</v>
      </c>
      <c r="G28" s="8" t="s">
        <v>232</v>
      </c>
      <c r="H28" s="8" t="s">
        <v>233</v>
      </c>
      <c r="I28" s="8" t="s">
        <v>234</v>
      </c>
      <c r="J28" s="8" t="s">
        <v>235</v>
      </c>
      <c r="K28" s="8" t="s">
        <v>236</v>
      </c>
      <c r="L28" s="21" t="s">
        <v>237</v>
      </c>
      <c r="M28" s="4"/>
    </row>
    <row r="29" spans="1:13" ht="58.1" customHeight="1">
      <c r="A29" s="7" t="s">
        <v>210</v>
      </c>
      <c r="B29" s="8">
        <v>5</v>
      </c>
      <c r="C29" s="8" t="s">
        <v>238</v>
      </c>
      <c r="D29" s="8" t="s">
        <v>229</v>
      </c>
      <c r="E29" s="8" t="s">
        <v>230</v>
      </c>
      <c r="F29" s="8" t="s">
        <v>239</v>
      </c>
      <c r="G29" s="8" t="s">
        <v>240</v>
      </c>
      <c r="H29" s="8" t="s">
        <v>241</v>
      </c>
      <c r="I29" s="8" t="s">
        <v>242</v>
      </c>
      <c r="J29" s="8" t="s">
        <v>243</v>
      </c>
      <c r="K29" s="8" t="s">
        <v>244</v>
      </c>
      <c r="L29" s="21" t="s">
        <v>237</v>
      </c>
      <c r="M29" s="4"/>
    </row>
    <row r="30" spans="1:13" ht="48.1" customHeight="1">
      <c r="A30" s="7" t="s">
        <v>210</v>
      </c>
      <c r="B30" s="8">
        <v>6</v>
      </c>
      <c r="C30" s="8" t="s">
        <v>140</v>
      </c>
      <c r="D30" s="8" t="s">
        <v>141</v>
      </c>
      <c r="E30" s="8" t="s">
        <v>142</v>
      </c>
      <c r="F30" s="8" t="s">
        <v>143</v>
      </c>
      <c r="G30" s="8" t="s">
        <v>144</v>
      </c>
      <c r="H30" s="8" t="s">
        <v>144</v>
      </c>
      <c r="I30" s="8" t="s">
        <v>145</v>
      </c>
      <c r="J30" s="8" t="s">
        <v>245</v>
      </c>
      <c r="K30" s="8" t="s">
        <v>147</v>
      </c>
      <c r="L30" s="19" t="s">
        <v>86</v>
      </c>
      <c r="M30" s="9" t="s">
        <v>246</v>
      </c>
    </row>
    <row r="31" spans="1:13" ht="58.1" customHeight="1">
      <c r="A31" s="7" t="s">
        <v>210</v>
      </c>
      <c r="B31" s="8">
        <v>7</v>
      </c>
      <c r="C31" s="8" t="s">
        <v>247</v>
      </c>
      <c r="D31" s="8" t="s">
        <v>171</v>
      </c>
      <c r="E31" s="8" t="s">
        <v>248</v>
      </c>
      <c r="F31" s="8" t="s">
        <v>249</v>
      </c>
      <c r="G31" s="8" t="s">
        <v>250</v>
      </c>
      <c r="H31" s="8" t="s">
        <v>251</v>
      </c>
      <c r="I31" s="8" t="s">
        <v>252</v>
      </c>
      <c r="J31" s="8" t="s">
        <v>253</v>
      </c>
      <c r="K31" s="8" t="s">
        <v>254</v>
      </c>
      <c r="L31" s="14" t="s">
        <v>86</v>
      </c>
      <c r="M31" s="4"/>
    </row>
    <row r="32" spans="1:13" ht="46.05" customHeight="1">
      <c r="A32" s="7" t="s">
        <v>210</v>
      </c>
      <c r="B32" s="8">
        <v>8</v>
      </c>
      <c r="C32" s="8" t="s">
        <v>255</v>
      </c>
      <c r="D32" s="8" t="s">
        <v>171</v>
      </c>
      <c r="E32" s="8" t="s">
        <v>248</v>
      </c>
      <c r="F32" s="8" t="s">
        <v>249</v>
      </c>
      <c r="G32" s="8" t="s">
        <v>256</v>
      </c>
      <c r="H32" s="8" t="s">
        <v>257</v>
      </c>
      <c r="I32" s="8" t="s">
        <v>258</v>
      </c>
      <c r="J32" s="8" t="s">
        <v>259</v>
      </c>
      <c r="K32" s="8" t="s">
        <v>260</v>
      </c>
      <c r="L32" s="14" t="s">
        <v>86</v>
      </c>
      <c r="M32" s="4"/>
    </row>
    <row r="33" spans="1:13" ht="46.05" customHeight="1">
      <c r="A33" s="7" t="s">
        <v>210</v>
      </c>
      <c r="B33" s="8">
        <v>9</v>
      </c>
      <c r="C33" s="8" t="s">
        <v>261</v>
      </c>
      <c r="D33" s="8" t="s">
        <v>171</v>
      </c>
      <c r="E33" s="8" t="s">
        <v>248</v>
      </c>
      <c r="F33" s="8" t="s">
        <v>249</v>
      </c>
      <c r="G33" s="8" t="s">
        <v>262</v>
      </c>
      <c r="H33" s="8" t="s">
        <v>263</v>
      </c>
      <c r="I33" s="8" t="s">
        <v>264</v>
      </c>
      <c r="J33" s="8" t="s">
        <v>259</v>
      </c>
      <c r="K33" s="8" t="s">
        <v>265</v>
      </c>
      <c r="L33" s="14" t="s">
        <v>86</v>
      </c>
      <c r="M33" s="4"/>
    </row>
    <row r="34" spans="1:13" ht="46.05" customHeight="1">
      <c r="A34" s="7" t="s">
        <v>210</v>
      </c>
      <c r="B34" s="8">
        <v>10</v>
      </c>
      <c r="C34" s="8" t="s">
        <v>266</v>
      </c>
      <c r="D34" s="8" t="s">
        <v>171</v>
      </c>
      <c r="E34" s="8" t="s">
        <v>248</v>
      </c>
      <c r="F34" s="8" t="s">
        <v>249</v>
      </c>
      <c r="G34" s="8" t="s">
        <v>267</v>
      </c>
      <c r="H34" s="8" t="s">
        <v>268</v>
      </c>
      <c r="I34" s="8" t="s">
        <v>269</v>
      </c>
      <c r="J34" s="8" t="s">
        <v>259</v>
      </c>
      <c r="K34" s="8" t="s">
        <v>270</v>
      </c>
      <c r="L34" s="14" t="s">
        <v>86</v>
      </c>
      <c r="M34" s="4"/>
    </row>
    <row r="35" spans="1:13" ht="70" customHeight="1">
      <c r="A35" s="7" t="s">
        <v>210</v>
      </c>
      <c r="B35" s="8">
        <v>11</v>
      </c>
      <c r="C35" s="8" t="s">
        <v>271</v>
      </c>
      <c r="D35" s="8" t="s">
        <v>78</v>
      </c>
      <c r="E35" s="8" t="s">
        <v>272</v>
      </c>
      <c r="F35" s="8" t="s">
        <v>273</v>
      </c>
      <c r="G35" s="8" t="s">
        <v>274</v>
      </c>
      <c r="H35" s="8" t="s">
        <v>275</v>
      </c>
      <c r="I35" s="8" t="s">
        <v>276</v>
      </c>
      <c r="J35" s="8" t="s">
        <v>277</v>
      </c>
      <c r="K35" s="8" t="s">
        <v>278</v>
      </c>
      <c r="L35" s="22" t="s">
        <v>279</v>
      </c>
      <c r="M35" s="4"/>
    </row>
    <row r="36" spans="1:13" ht="46.05" customHeight="1">
      <c r="A36" s="7" t="s">
        <v>210</v>
      </c>
      <c r="B36" s="8">
        <v>12</v>
      </c>
      <c r="C36" s="8" t="s">
        <v>280</v>
      </c>
      <c r="D36" s="8" t="s">
        <v>78</v>
      </c>
      <c r="E36" s="8" t="s">
        <v>272</v>
      </c>
      <c r="F36" s="8" t="s">
        <v>273</v>
      </c>
      <c r="G36" s="8" t="s">
        <v>281</v>
      </c>
      <c r="H36" s="8" t="s">
        <v>282</v>
      </c>
      <c r="I36" s="8" t="s">
        <v>283</v>
      </c>
      <c r="J36" s="8" t="s">
        <v>284</v>
      </c>
      <c r="K36" s="8" t="s">
        <v>285</v>
      </c>
      <c r="L36" s="22" t="s">
        <v>279</v>
      </c>
      <c r="M36" s="4"/>
    </row>
    <row r="37" spans="1:13" ht="48.1" customHeight="1">
      <c r="A37" s="7" t="s">
        <v>210</v>
      </c>
      <c r="B37" s="8">
        <v>13</v>
      </c>
      <c r="C37" s="8" t="s">
        <v>140</v>
      </c>
      <c r="D37" s="8" t="s">
        <v>141</v>
      </c>
      <c r="E37" s="8" t="s">
        <v>142</v>
      </c>
      <c r="F37" s="8" t="s">
        <v>143</v>
      </c>
      <c r="G37" s="8" t="s">
        <v>144</v>
      </c>
      <c r="H37" s="8" t="s">
        <v>144</v>
      </c>
      <c r="I37" s="8" t="s">
        <v>286</v>
      </c>
      <c r="J37" s="8" t="s">
        <v>287</v>
      </c>
      <c r="K37" s="8" t="s">
        <v>147</v>
      </c>
      <c r="L37" s="23" t="s">
        <v>86</v>
      </c>
      <c r="M37" s="9" t="s">
        <v>288</v>
      </c>
    </row>
    <row r="38" spans="1:13" ht="58.1" customHeight="1">
      <c r="A38" s="7" t="s">
        <v>210</v>
      </c>
      <c r="B38" s="8">
        <v>14</v>
      </c>
      <c r="C38" s="8" t="s">
        <v>289</v>
      </c>
      <c r="D38" s="8" t="s">
        <v>171</v>
      </c>
      <c r="E38" s="8" t="s">
        <v>290</v>
      </c>
      <c r="F38" s="8" t="s">
        <v>291</v>
      </c>
      <c r="G38" s="8" t="s">
        <v>292</v>
      </c>
      <c r="H38" s="8" t="s">
        <v>293</v>
      </c>
      <c r="I38" s="8" t="s">
        <v>294</v>
      </c>
      <c r="J38" s="8" t="s">
        <v>295</v>
      </c>
      <c r="K38" s="8" t="s">
        <v>296</v>
      </c>
      <c r="L38" s="20" t="s">
        <v>86</v>
      </c>
      <c r="M38" s="4"/>
    </row>
    <row r="39" spans="1:13" ht="286" customHeight="1">
      <c r="A39" s="7" t="s">
        <v>210</v>
      </c>
      <c r="B39" s="8">
        <v>15</v>
      </c>
      <c r="C39" s="8" t="s">
        <v>297</v>
      </c>
      <c r="D39" s="8" t="s">
        <v>298</v>
      </c>
      <c r="E39" s="8" t="s">
        <v>299</v>
      </c>
      <c r="F39" s="8" t="s">
        <v>300</v>
      </c>
      <c r="G39" s="8" t="s">
        <v>301</v>
      </c>
      <c r="H39" s="8" t="s">
        <v>302</v>
      </c>
      <c r="I39" s="8" t="s">
        <v>303</v>
      </c>
      <c r="J39" s="8" t="s">
        <v>304</v>
      </c>
      <c r="K39" s="8" t="s">
        <v>305</v>
      </c>
      <c r="L39" s="22" t="s">
        <v>306</v>
      </c>
      <c r="M39" s="4"/>
    </row>
    <row r="40" spans="1:13" ht="70" customHeight="1">
      <c r="A40" s="7" t="s">
        <v>210</v>
      </c>
      <c r="B40" s="8">
        <v>16</v>
      </c>
      <c r="C40" s="8" t="s">
        <v>307</v>
      </c>
      <c r="D40" s="8" t="s">
        <v>78</v>
      </c>
      <c r="E40" s="8" t="s">
        <v>272</v>
      </c>
      <c r="F40" s="8" t="s">
        <v>308</v>
      </c>
      <c r="G40" s="8" t="s">
        <v>309</v>
      </c>
      <c r="H40" s="8" t="s">
        <v>310</v>
      </c>
      <c r="I40" s="8" t="s">
        <v>311</v>
      </c>
      <c r="J40" s="8" t="s">
        <v>312</v>
      </c>
      <c r="K40" s="8" t="s">
        <v>313</v>
      </c>
      <c r="L40" s="22" t="s">
        <v>279</v>
      </c>
      <c r="M40" s="4"/>
    </row>
    <row r="41" spans="1:13" ht="48.1" customHeight="1">
      <c r="A41" s="7" t="s">
        <v>210</v>
      </c>
      <c r="B41" s="8">
        <v>17</v>
      </c>
      <c r="C41" s="8" t="s">
        <v>140</v>
      </c>
      <c r="D41" s="8" t="s">
        <v>141</v>
      </c>
      <c r="E41" s="8" t="s">
        <v>142</v>
      </c>
      <c r="F41" s="8" t="s">
        <v>143</v>
      </c>
      <c r="G41" s="8" t="s">
        <v>144</v>
      </c>
      <c r="H41" s="8" t="s">
        <v>144</v>
      </c>
      <c r="I41" s="8" t="s">
        <v>286</v>
      </c>
      <c r="J41" s="8" t="s">
        <v>314</v>
      </c>
      <c r="K41" s="8" t="s">
        <v>147</v>
      </c>
      <c r="L41" s="20" t="s">
        <v>86</v>
      </c>
      <c r="M41" s="4"/>
    </row>
    <row r="42" spans="1:13" ht="58.1" customHeight="1">
      <c r="A42" s="7" t="s">
        <v>210</v>
      </c>
      <c r="B42" s="8">
        <v>18</v>
      </c>
      <c r="C42" s="8" t="s">
        <v>315</v>
      </c>
      <c r="D42" s="8" t="s">
        <v>78</v>
      </c>
      <c r="E42" s="8" t="s">
        <v>316</v>
      </c>
      <c r="F42" s="8" t="s">
        <v>317</v>
      </c>
      <c r="G42" s="8" t="s">
        <v>318</v>
      </c>
      <c r="H42" s="8" t="s">
        <v>319</v>
      </c>
      <c r="I42" s="8" t="s">
        <v>320</v>
      </c>
      <c r="J42" s="8" t="s">
        <v>321</v>
      </c>
      <c r="K42" s="8" t="s">
        <v>322</v>
      </c>
      <c r="L42" s="20" t="s">
        <v>86</v>
      </c>
      <c r="M42" s="4"/>
    </row>
    <row r="43" spans="1:13" ht="58.1" customHeight="1">
      <c r="A43" s="7" t="s">
        <v>210</v>
      </c>
      <c r="B43" s="8">
        <v>19</v>
      </c>
      <c r="C43" s="8" t="s">
        <v>323</v>
      </c>
      <c r="D43" s="8" t="s">
        <v>78</v>
      </c>
      <c r="E43" s="8" t="s">
        <v>324</v>
      </c>
      <c r="F43" s="8" t="s">
        <v>325</v>
      </c>
      <c r="G43" s="8" t="s">
        <v>326</v>
      </c>
      <c r="H43" s="8" t="s">
        <v>327</v>
      </c>
      <c r="I43" s="8" t="s">
        <v>328</v>
      </c>
      <c r="J43" s="8" t="s">
        <v>329</v>
      </c>
      <c r="K43" s="8" t="s">
        <v>330</v>
      </c>
      <c r="L43" s="21" t="s">
        <v>102</v>
      </c>
      <c r="M43" s="4"/>
    </row>
    <row r="44" spans="1:13" ht="46.05" customHeight="1">
      <c r="A44" s="7" t="s">
        <v>210</v>
      </c>
      <c r="B44" s="8">
        <v>20</v>
      </c>
      <c r="C44" s="8" t="s">
        <v>331</v>
      </c>
      <c r="D44" s="8" t="s">
        <v>171</v>
      </c>
      <c r="E44" s="8" t="s">
        <v>332</v>
      </c>
      <c r="F44" s="8" t="s">
        <v>333</v>
      </c>
      <c r="G44" s="8" t="s">
        <v>334</v>
      </c>
      <c r="H44" s="8" t="s">
        <v>335</v>
      </c>
      <c r="I44" s="8" t="s">
        <v>336</v>
      </c>
      <c r="J44" s="8" t="s">
        <v>337</v>
      </c>
      <c r="K44" s="8" t="s">
        <v>338</v>
      </c>
      <c r="L44" s="21" t="s">
        <v>102</v>
      </c>
      <c r="M44" s="4"/>
    </row>
    <row r="45" spans="1:13" ht="34" customHeight="1">
      <c r="A45" s="7" t="s">
        <v>339</v>
      </c>
      <c r="B45" s="8">
        <v>1</v>
      </c>
      <c r="C45" s="8" t="s">
        <v>340</v>
      </c>
      <c r="D45" s="8" t="s">
        <v>341</v>
      </c>
      <c r="E45" s="8" t="s">
        <v>342</v>
      </c>
      <c r="F45" s="8" t="s">
        <v>343</v>
      </c>
      <c r="G45" s="8" t="s">
        <v>344</v>
      </c>
      <c r="H45" s="8" t="s">
        <v>345</v>
      </c>
      <c r="I45" s="8" t="s">
        <v>346</v>
      </c>
      <c r="J45" s="8" t="s">
        <v>347</v>
      </c>
      <c r="K45" s="8" t="s">
        <v>348</v>
      </c>
      <c r="L45" s="20" t="s">
        <v>86</v>
      </c>
      <c r="M45" s="9" t="s">
        <v>349</v>
      </c>
    </row>
    <row r="46" spans="1:13" ht="34" customHeight="1">
      <c r="A46" s="7" t="s">
        <v>339</v>
      </c>
      <c r="B46" s="8">
        <v>2</v>
      </c>
      <c r="C46" s="8" t="s">
        <v>350</v>
      </c>
      <c r="D46" s="8" t="s">
        <v>341</v>
      </c>
      <c r="E46" s="8" t="s">
        <v>342</v>
      </c>
      <c r="F46" s="8" t="s">
        <v>351</v>
      </c>
      <c r="G46" s="8" t="s">
        <v>352</v>
      </c>
      <c r="H46" s="8" t="s">
        <v>353</v>
      </c>
      <c r="I46" s="8" t="s">
        <v>354</v>
      </c>
      <c r="J46" s="8" t="s">
        <v>347</v>
      </c>
      <c r="K46" s="8" t="s">
        <v>355</v>
      </c>
      <c r="L46" s="20" t="s">
        <v>86</v>
      </c>
      <c r="M46" s="9" t="s">
        <v>349</v>
      </c>
    </row>
    <row r="47" spans="1:13" ht="34" customHeight="1">
      <c r="A47" s="7" t="s">
        <v>339</v>
      </c>
      <c r="B47" s="8">
        <v>3</v>
      </c>
      <c r="C47" s="8" t="s">
        <v>356</v>
      </c>
      <c r="D47" s="8" t="s">
        <v>341</v>
      </c>
      <c r="E47" s="8" t="s">
        <v>342</v>
      </c>
      <c r="F47" s="8" t="s">
        <v>351</v>
      </c>
      <c r="G47" s="8" t="s">
        <v>357</v>
      </c>
      <c r="H47" s="8" t="s">
        <v>358</v>
      </c>
      <c r="I47" s="8" t="s">
        <v>359</v>
      </c>
      <c r="J47" s="8" t="s">
        <v>347</v>
      </c>
      <c r="K47" s="8" t="s">
        <v>360</v>
      </c>
      <c r="L47" s="20" t="s">
        <v>86</v>
      </c>
      <c r="M47" s="9" t="s">
        <v>349</v>
      </c>
    </row>
    <row r="48" spans="1:13" ht="94.1" customHeight="1">
      <c r="A48" s="7" t="s">
        <v>339</v>
      </c>
      <c r="B48" s="8">
        <v>4</v>
      </c>
      <c r="C48" s="8" t="s">
        <v>361</v>
      </c>
      <c r="D48" s="8" t="s">
        <v>229</v>
      </c>
      <c r="E48" s="8" t="s">
        <v>362</v>
      </c>
      <c r="F48" s="8" t="s">
        <v>363</v>
      </c>
      <c r="G48" s="8" t="s">
        <v>364</v>
      </c>
      <c r="H48" s="8" t="s">
        <v>365</v>
      </c>
      <c r="I48" s="8" t="s">
        <v>366</v>
      </c>
      <c r="J48" s="8" t="s">
        <v>367</v>
      </c>
      <c r="K48" s="8" t="s">
        <v>368</v>
      </c>
      <c r="L48" s="20" t="s">
        <v>86</v>
      </c>
      <c r="M48" s="9" t="s">
        <v>369</v>
      </c>
    </row>
    <row r="49" spans="1:13" ht="34" customHeight="1">
      <c r="A49" s="7" t="s">
        <v>339</v>
      </c>
      <c r="B49" s="8">
        <v>5</v>
      </c>
      <c r="C49" s="8" t="s">
        <v>370</v>
      </c>
      <c r="D49" s="8" t="s">
        <v>341</v>
      </c>
      <c r="E49" s="8" t="s">
        <v>342</v>
      </c>
      <c r="F49" s="8" t="s">
        <v>343</v>
      </c>
      <c r="G49" s="8" t="s">
        <v>371</v>
      </c>
      <c r="H49" s="8" t="s">
        <v>372</v>
      </c>
      <c r="I49" s="8" t="s">
        <v>373</v>
      </c>
      <c r="J49" s="8" t="s">
        <v>347</v>
      </c>
      <c r="K49" s="8" t="s">
        <v>374</v>
      </c>
      <c r="L49" s="20" t="s">
        <v>86</v>
      </c>
      <c r="M49" s="9" t="s">
        <v>349</v>
      </c>
    </row>
    <row r="50" spans="1:13" ht="94.1" customHeight="1">
      <c r="A50" s="7" t="s">
        <v>339</v>
      </c>
      <c r="B50" s="8">
        <v>6</v>
      </c>
      <c r="C50" s="8" t="s">
        <v>375</v>
      </c>
      <c r="D50" s="8" t="s">
        <v>229</v>
      </c>
      <c r="E50" s="8" t="s">
        <v>362</v>
      </c>
      <c r="F50" s="8" t="s">
        <v>363</v>
      </c>
      <c r="G50" s="8" t="s">
        <v>364</v>
      </c>
      <c r="H50" s="8" t="s">
        <v>365</v>
      </c>
      <c r="I50" s="8" t="s">
        <v>376</v>
      </c>
      <c r="J50" s="8" t="s">
        <v>367</v>
      </c>
      <c r="K50" s="8" t="s">
        <v>377</v>
      </c>
      <c r="L50" s="20" t="s">
        <v>86</v>
      </c>
      <c r="M50" s="9" t="s">
        <v>369</v>
      </c>
    </row>
    <row r="51" spans="1:13" ht="34" customHeight="1">
      <c r="A51" s="7" t="s">
        <v>339</v>
      </c>
      <c r="B51" s="8">
        <v>7</v>
      </c>
      <c r="C51" s="8" t="s">
        <v>378</v>
      </c>
      <c r="D51" s="8" t="s">
        <v>341</v>
      </c>
      <c r="E51" s="8" t="s">
        <v>342</v>
      </c>
      <c r="F51" s="8" t="s">
        <v>351</v>
      </c>
      <c r="G51" s="8" t="s">
        <v>379</v>
      </c>
      <c r="H51" s="8" t="s">
        <v>380</v>
      </c>
      <c r="I51" s="8" t="s">
        <v>381</v>
      </c>
      <c r="J51" s="8" t="s">
        <v>347</v>
      </c>
      <c r="K51" s="8" t="s">
        <v>382</v>
      </c>
      <c r="L51" s="20" t="s">
        <v>86</v>
      </c>
      <c r="M51" s="9" t="s">
        <v>349</v>
      </c>
    </row>
    <row r="52" spans="1:13" ht="94.1" customHeight="1">
      <c r="A52" s="7" t="s">
        <v>339</v>
      </c>
      <c r="B52" s="8">
        <v>8</v>
      </c>
      <c r="C52" s="8" t="s">
        <v>383</v>
      </c>
      <c r="D52" s="8" t="s">
        <v>229</v>
      </c>
      <c r="E52" s="8" t="s">
        <v>362</v>
      </c>
      <c r="F52" s="8" t="s">
        <v>363</v>
      </c>
      <c r="G52" s="8" t="s">
        <v>364</v>
      </c>
      <c r="H52" s="8" t="s">
        <v>365</v>
      </c>
      <c r="I52" s="8" t="s">
        <v>384</v>
      </c>
      <c r="J52" s="8" t="s">
        <v>367</v>
      </c>
      <c r="K52" s="8" t="s">
        <v>385</v>
      </c>
      <c r="L52" s="20" t="s">
        <v>86</v>
      </c>
      <c r="M52" s="9" t="s">
        <v>369</v>
      </c>
    </row>
    <row r="53" spans="1:13" ht="34" customHeight="1">
      <c r="A53" s="7" t="s">
        <v>339</v>
      </c>
      <c r="B53" s="8">
        <v>9</v>
      </c>
      <c r="C53" s="8" t="s">
        <v>386</v>
      </c>
      <c r="D53" s="8" t="s">
        <v>341</v>
      </c>
      <c r="E53" s="8" t="s">
        <v>342</v>
      </c>
      <c r="F53" s="8" t="s">
        <v>343</v>
      </c>
      <c r="G53" s="8" t="s">
        <v>387</v>
      </c>
      <c r="H53" s="8" t="s">
        <v>388</v>
      </c>
      <c r="I53" s="8" t="s">
        <v>389</v>
      </c>
      <c r="J53" s="8" t="s">
        <v>347</v>
      </c>
      <c r="K53" s="8" t="s">
        <v>390</v>
      </c>
      <c r="L53" s="20" t="s">
        <v>86</v>
      </c>
      <c r="M53" s="9" t="s">
        <v>349</v>
      </c>
    </row>
    <row r="54" spans="1:13" ht="94.1" customHeight="1">
      <c r="A54" s="7" t="s">
        <v>339</v>
      </c>
      <c r="B54" s="8">
        <v>10</v>
      </c>
      <c r="C54" s="8" t="s">
        <v>391</v>
      </c>
      <c r="D54" s="8" t="s">
        <v>229</v>
      </c>
      <c r="E54" s="8" t="s">
        <v>362</v>
      </c>
      <c r="F54" s="8" t="s">
        <v>363</v>
      </c>
      <c r="G54" s="8" t="s">
        <v>364</v>
      </c>
      <c r="H54" s="8" t="s">
        <v>365</v>
      </c>
      <c r="I54" s="8" t="s">
        <v>392</v>
      </c>
      <c r="J54" s="8" t="s">
        <v>367</v>
      </c>
      <c r="K54" s="8" t="s">
        <v>393</v>
      </c>
      <c r="L54" s="20" t="s">
        <v>86</v>
      </c>
      <c r="M54" s="9" t="s">
        <v>369</v>
      </c>
    </row>
    <row r="55" spans="1:13" ht="22.1" customHeight="1">
      <c r="A55" s="7" t="s">
        <v>394</v>
      </c>
      <c r="B55" s="8">
        <v>1</v>
      </c>
      <c r="C55" s="8" t="s">
        <v>395</v>
      </c>
      <c r="D55" s="8" t="s">
        <v>396</v>
      </c>
      <c r="E55" s="8" t="s">
        <v>397</v>
      </c>
      <c r="F55" s="8" t="s">
        <v>144</v>
      </c>
      <c r="G55" s="8" t="s">
        <v>144</v>
      </c>
      <c r="H55" s="8" t="s">
        <v>144</v>
      </c>
      <c r="I55" s="8" t="s">
        <v>398</v>
      </c>
      <c r="J55" s="8" t="s">
        <v>399</v>
      </c>
      <c r="K55" s="8" t="s">
        <v>398</v>
      </c>
      <c r="L55" s="23" t="s">
        <v>395</v>
      </c>
      <c r="M55" s="4"/>
    </row>
    <row r="56" spans="1:13" ht="94.1" customHeight="1">
      <c r="A56" s="7" t="s">
        <v>394</v>
      </c>
      <c r="B56" s="8">
        <v>2</v>
      </c>
      <c r="C56" s="8" t="s">
        <v>400</v>
      </c>
      <c r="D56" s="8" t="s">
        <v>229</v>
      </c>
      <c r="E56" s="8" t="s">
        <v>362</v>
      </c>
      <c r="F56" s="8" t="s">
        <v>401</v>
      </c>
      <c r="G56" s="8" t="s">
        <v>402</v>
      </c>
      <c r="H56" s="8" t="s">
        <v>403</v>
      </c>
      <c r="I56" s="8" t="s">
        <v>404</v>
      </c>
      <c r="J56" s="8" t="s">
        <v>405</v>
      </c>
      <c r="K56" s="8" t="s">
        <v>406</v>
      </c>
      <c r="L56" s="20" t="s">
        <v>86</v>
      </c>
      <c r="M56" s="9" t="s">
        <v>369</v>
      </c>
    </row>
    <row r="57" spans="1:13" ht="70" customHeight="1">
      <c r="A57" s="7" t="s">
        <v>394</v>
      </c>
      <c r="B57" s="8">
        <v>3</v>
      </c>
      <c r="C57" s="8" t="s">
        <v>407</v>
      </c>
      <c r="D57" s="8" t="s">
        <v>229</v>
      </c>
      <c r="E57" s="8" t="s">
        <v>408</v>
      </c>
      <c r="F57" s="8" t="s">
        <v>409</v>
      </c>
      <c r="G57" s="8" t="s">
        <v>410</v>
      </c>
      <c r="H57" s="8" t="s">
        <v>411</v>
      </c>
      <c r="I57" s="8" t="s">
        <v>412</v>
      </c>
      <c r="J57" s="8" t="s">
        <v>413</v>
      </c>
      <c r="K57" s="8" t="s">
        <v>414</v>
      </c>
      <c r="L57" s="20" t="s">
        <v>86</v>
      </c>
      <c r="M57" s="4"/>
    </row>
    <row r="58" spans="1:13" ht="22.1" customHeight="1">
      <c r="A58" s="7" t="s">
        <v>394</v>
      </c>
      <c r="B58" s="8">
        <v>4</v>
      </c>
      <c r="C58" s="8" t="s">
        <v>395</v>
      </c>
      <c r="D58" s="8" t="s">
        <v>396</v>
      </c>
      <c r="E58" s="8" t="s">
        <v>397</v>
      </c>
      <c r="F58" s="8" t="s">
        <v>144</v>
      </c>
      <c r="G58" s="8" t="s">
        <v>144</v>
      </c>
      <c r="H58" s="8" t="s">
        <v>144</v>
      </c>
      <c r="I58" s="8" t="s">
        <v>398</v>
      </c>
      <c r="J58" s="8" t="s">
        <v>399</v>
      </c>
      <c r="K58" s="8" t="s">
        <v>398</v>
      </c>
      <c r="L58" s="23" t="s">
        <v>395</v>
      </c>
      <c r="M58" s="4"/>
    </row>
    <row r="59" spans="1:13" ht="34" customHeight="1">
      <c r="A59" s="7" t="s">
        <v>394</v>
      </c>
      <c r="B59" s="8">
        <v>5</v>
      </c>
      <c r="C59" s="8" t="s">
        <v>415</v>
      </c>
      <c r="D59" s="8" t="s">
        <v>341</v>
      </c>
      <c r="E59" s="8" t="s">
        <v>416</v>
      </c>
      <c r="F59" s="8" t="s">
        <v>417</v>
      </c>
      <c r="G59" s="8" t="s">
        <v>418</v>
      </c>
      <c r="H59" s="8" t="s">
        <v>419</v>
      </c>
      <c r="I59" s="8" t="s">
        <v>420</v>
      </c>
      <c r="J59" s="8" t="s">
        <v>421</v>
      </c>
      <c r="K59" s="8" t="s">
        <v>422</v>
      </c>
      <c r="L59" s="20" t="s">
        <v>86</v>
      </c>
      <c r="M59" s="4"/>
    </row>
    <row r="60" spans="1:13" ht="22.1" customHeight="1">
      <c r="A60" s="7" t="s">
        <v>394</v>
      </c>
      <c r="B60" s="8">
        <v>6</v>
      </c>
      <c r="C60" s="8" t="s">
        <v>395</v>
      </c>
      <c r="D60" s="8" t="s">
        <v>396</v>
      </c>
      <c r="E60" s="8" t="s">
        <v>397</v>
      </c>
      <c r="F60" s="8" t="s">
        <v>144</v>
      </c>
      <c r="G60" s="8" t="s">
        <v>144</v>
      </c>
      <c r="H60" s="8" t="s">
        <v>144</v>
      </c>
      <c r="I60" s="8" t="s">
        <v>398</v>
      </c>
      <c r="J60" s="8" t="s">
        <v>399</v>
      </c>
      <c r="K60" s="8" t="s">
        <v>398</v>
      </c>
      <c r="L60" s="23" t="s">
        <v>395</v>
      </c>
      <c r="M60" s="4"/>
    </row>
    <row r="61" spans="1:13" ht="34" customHeight="1">
      <c r="A61" s="7" t="s">
        <v>394</v>
      </c>
      <c r="B61" s="8">
        <v>7</v>
      </c>
      <c r="C61" s="8" t="s">
        <v>423</v>
      </c>
      <c r="D61" s="8" t="s">
        <v>341</v>
      </c>
      <c r="E61" s="8" t="s">
        <v>424</v>
      </c>
      <c r="F61" s="8" t="s">
        <v>417</v>
      </c>
      <c r="G61" s="8" t="s">
        <v>425</v>
      </c>
      <c r="H61" s="8" t="s">
        <v>419</v>
      </c>
      <c r="I61" s="8" t="s">
        <v>426</v>
      </c>
      <c r="J61" s="8" t="s">
        <v>427</v>
      </c>
      <c r="K61" s="8" t="s">
        <v>428</v>
      </c>
      <c r="L61" s="20" t="s">
        <v>86</v>
      </c>
      <c r="M61" s="4"/>
    </row>
    <row r="62" spans="1:13" ht="22.1" customHeight="1">
      <c r="A62" s="7" t="s">
        <v>394</v>
      </c>
      <c r="B62" s="8">
        <v>8</v>
      </c>
      <c r="C62" s="8" t="s">
        <v>395</v>
      </c>
      <c r="D62" s="8" t="s">
        <v>396</v>
      </c>
      <c r="E62" s="8" t="s">
        <v>397</v>
      </c>
      <c r="F62" s="8" t="s">
        <v>144</v>
      </c>
      <c r="G62" s="8" t="s">
        <v>144</v>
      </c>
      <c r="H62" s="8" t="s">
        <v>144</v>
      </c>
      <c r="I62" s="8" t="s">
        <v>398</v>
      </c>
      <c r="J62" s="8" t="s">
        <v>399</v>
      </c>
      <c r="K62" s="8" t="s">
        <v>398</v>
      </c>
      <c r="L62" s="23" t="s">
        <v>395</v>
      </c>
      <c r="M62" s="4"/>
    </row>
    <row r="63" spans="1:13" ht="58.1" customHeight="1">
      <c r="A63" s="7" t="s">
        <v>394</v>
      </c>
      <c r="B63" s="8">
        <v>9</v>
      </c>
      <c r="C63" s="8" t="s">
        <v>429</v>
      </c>
      <c r="D63" s="8" t="s">
        <v>229</v>
      </c>
      <c r="E63" s="8" t="s">
        <v>408</v>
      </c>
      <c r="F63" s="8" t="s">
        <v>409</v>
      </c>
      <c r="G63" s="8" t="s">
        <v>430</v>
      </c>
      <c r="H63" s="8" t="s">
        <v>431</v>
      </c>
      <c r="I63" s="8" t="s">
        <v>432</v>
      </c>
      <c r="J63" s="8" t="s">
        <v>433</v>
      </c>
      <c r="K63" s="8" t="s">
        <v>434</v>
      </c>
      <c r="L63" s="20" t="s">
        <v>86</v>
      </c>
      <c r="M63" s="4"/>
    </row>
    <row r="64" spans="1:13" ht="70" customHeight="1">
      <c r="A64" s="7" t="s">
        <v>394</v>
      </c>
      <c r="B64" s="8">
        <v>10</v>
      </c>
      <c r="C64" s="8" t="s">
        <v>435</v>
      </c>
      <c r="D64" s="8" t="s">
        <v>298</v>
      </c>
      <c r="E64" s="8" t="s">
        <v>436</v>
      </c>
      <c r="F64" s="8" t="s">
        <v>437</v>
      </c>
      <c r="G64" s="8" t="s">
        <v>438</v>
      </c>
      <c r="H64" s="8" t="s">
        <v>439</v>
      </c>
      <c r="I64" s="8" t="s">
        <v>440</v>
      </c>
      <c r="J64" s="8" t="s">
        <v>441</v>
      </c>
      <c r="K64" s="8" t="s">
        <v>442</v>
      </c>
      <c r="L64" s="20" t="s">
        <v>86</v>
      </c>
      <c r="M64" s="4"/>
    </row>
    <row r="65" spans="1:13" ht="70" customHeight="1">
      <c r="A65" s="7" t="s">
        <v>443</v>
      </c>
      <c r="B65" s="8">
        <v>1</v>
      </c>
      <c r="C65" s="8" t="s">
        <v>444</v>
      </c>
      <c r="D65" s="8" t="s">
        <v>229</v>
      </c>
      <c r="E65" s="8" t="s">
        <v>445</v>
      </c>
      <c r="F65" s="24" t="s">
        <v>446</v>
      </c>
      <c r="G65" s="8" t="s">
        <v>447</v>
      </c>
      <c r="H65" s="8" t="s">
        <v>448</v>
      </c>
      <c r="I65" s="8" t="s">
        <v>449</v>
      </c>
      <c r="J65" s="8" t="s">
        <v>450</v>
      </c>
      <c r="K65" s="8" t="s">
        <v>451</v>
      </c>
      <c r="L65" s="20" t="s">
        <v>86</v>
      </c>
      <c r="M65" s="4"/>
    </row>
    <row r="66" spans="1:13" ht="58.1" customHeight="1">
      <c r="A66" s="7" t="s">
        <v>443</v>
      </c>
      <c r="B66" s="8">
        <v>2</v>
      </c>
      <c r="C66" s="8" t="s">
        <v>452</v>
      </c>
      <c r="D66" s="8" t="s">
        <v>171</v>
      </c>
      <c r="E66" s="8" t="s">
        <v>453</v>
      </c>
      <c r="F66" s="8" t="s">
        <v>454</v>
      </c>
      <c r="G66" s="8" t="s">
        <v>455</v>
      </c>
      <c r="H66" s="8" t="s">
        <v>456</v>
      </c>
      <c r="I66" s="8" t="s">
        <v>457</v>
      </c>
      <c r="J66" s="8" t="s">
        <v>458</v>
      </c>
      <c r="K66" s="8" t="s">
        <v>459</v>
      </c>
      <c r="L66" s="16" t="s">
        <v>86</v>
      </c>
      <c r="M66" s="9" t="s">
        <v>460</v>
      </c>
    </row>
    <row r="67" spans="1:13" ht="58.1" customHeight="1">
      <c r="A67" s="7" t="s">
        <v>443</v>
      </c>
      <c r="B67" s="8">
        <v>3</v>
      </c>
      <c r="C67" s="8" t="s">
        <v>461</v>
      </c>
      <c r="D67" s="8" t="s">
        <v>171</v>
      </c>
      <c r="E67" s="8" t="s">
        <v>462</v>
      </c>
      <c r="F67" s="8" t="s">
        <v>463</v>
      </c>
      <c r="G67" s="8" t="s">
        <v>464</v>
      </c>
      <c r="H67" s="8" t="s">
        <v>465</v>
      </c>
      <c r="I67" s="8" t="s">
        <v>466</v>
      </c>
      <c r="J67" s="8" t="s">
        <v>467</v>
      </c>
      <c r="K67" s="8" t="s">
        <v>468</v>
      </c>
      <c r="L67" s="25" t="s">
        <v>469</v>
      </c>
      <c r="M67" s="9" t="s">
        <v>470</v>
      </c>
    </row>
    <row r="68" spans="1:13" ht="46.05" customHeight="1">
      <c r="A68" s="7" t="s">
        <v>443</v>
      </c>
      <c r="B68" s="8">
        <v>4</v>
      </c>
      <c r="C68" s="8" t="s">
        <v>471</v>
      </c>
      <c r="D68" s="8" t="s">
        <v>341</v>
      </c>
      <c r="E68" s="8" t="s">
        <v>472</v>
      </c>
      <c r="F68" s="8" t="s">
        <v>473</v>
      </c>
      <c r="G68" s="8" t="s">
        <v>474</v>
      </c>
      <c r="H68" s="8" t="s">
        <v>475</v>
      </c>
      <c r="I68" s="8" t="s">
        <v>476</v>
      </c>
      <c r="J68" s="8" t="s">
        <v>477</v>
      </c>
      <c r="K68" s="8" t="s">
        <v>478</v>
      </c>
      <c r="L68" s="21" t="s">
        <v>237</v>
      </c>
      <c r="M68" s="4"/>
    </row>
    <row r="69" spans="1:13" ht="46.05" customHeight="1">
      <c r="A69" s="7" t="s">
        <v>443</v>
      </c>
      <c r="B69" s="8">
        <v>5</v>
      </c>
      <c r="C69" s="8" t="s">
        <v>479</v>
      </c>
      <c r="D69" s="8" t="s">
        <v>341</v>
      </c>
      <c r="E69" s="8" t="s">
        <v>480</v>
      </c>
      <c r="F69" s="8" t="s">
        <v>481</v>
      </c>
      <c r="G69" s="8" t="s">
        <v>482</v>
      </c>
      <c r="H69" s="8" t="s">
        <v>483</v>
      </c>
      <c r="I69" s="8" t="s">
        <v>484</v>
      </c>
      <c r="J69" s="8" t="s">
        <v>485</v>
      </c>
      <c r="K69" s="8" t="s">
        <v>486</v>
      </c>
      <c r="L69" s="20" t="s">
        <v>86</v>
      </c>
      <c r="M69" s="4"/>
    </row>
    <row r="70" spans="1:13" ht="34" customHeight="1">
      <c r="A70" s="7" t="s">
        <v>443</v>
      </c>
      <c r="B70" s="8">
        <v>6</v>
      </c>
      <c r="C70" s="8" t="s">
        <v>487</v>
      </c>
      <c r="D70" s="8" t="s">
        <v>341</v>
      </c>
      <c r="E70" s="8" t="s">
        <v>488</v>
      </c>
      <c r="F70" s="8" t="s">
        <v>489</v>
      </c>
      <c r="G70" s="8" t="s">
        <v>490</v>
      </c>
      <c r="H70" s="8" t="s">
        <v>491</v>
      </c>
      <c r="I70" s="8" t="s">
        <v>492</v>
      </c>
      <c r="J70" s="8" t="s">
        <v>493</v>
      </c>
      <c r="K70" s="8" t="s">
        <v>494</v>
      </c>
      <c r="L70" s="20" t="s">
        <v>86</v>
      </c>
      <c r="M70" s="4"/>
    </row>
    <row r="71" spans="1:13" ht="46.05" customHeight="1">
      <c r="A71" s="7" t="s">
        <v>443</v>
      </c>
      <c r="B71" s="8">
        <v>7</v>
      </c>
      <c r="C71" s="8" t="s">
        <v>495</v>
      </c>
      <c r="D71" s="8" t="s">
        <v>341</v>
      </c>
      <c r="E71" s="8" t="s">
        <v>472</v>
      </c>
      <c r="F71" s="8" t="s">
        <v>473</v>
      </c>
      <c r="G71" s="8" t="s">
        <v>496</v>
      </c>
      <c r="H71" s="8" t="s">
        <v>497</v>
      </c>
      <c r="I71" s="8" t="s">
        <v>498</v>
      </c>
      <c r="J71" s="8" t="s">
        <v>499</v>
      </c>
      <c r="K71" s="8" t="s">
        <v>500</v>
      </c>
      <c r="L71" s="21" t="s">
        <v>237</v>
      </c>
      <c r="M71" s="4"/>
    </row>
    <row r="72" spans="1:13" ht="22.1" customHeight="1">
      <c r="A72" s="7" t="s">
        <v>443</v>
      </c>
      <c r="B72" s="8">
        <v>8</v>
      </c>
      <c r="C72" s="8" t="s">
        <v>395</v>
      </c>
      <c r="D72" s="8" t="s">
        <v>396</v>
      </c>
      <c r="E72" s="8" t="s">
        <v>397</v>
      </c>
      <c r="F72" s="8" t="s">
        <v>144</v>
      </c>
      <c r="G72" s="8" t="s">
        <v>144</v>
      </c>
      <c r="H72" s="8" t="s">
        <v>144</v>
      </c>
      <c r="I72" s="8" t="s">
        <v>398</v>
      </c>
      <c r="J72" s="8" t="s">
        <v>399</v>
      </c>
      <c r="K72" s="8" t="s">
        <v>398</v>
      </c>
      <c r="L72" s="23" t="s">
        <v>395</v>
      </c>
      <c r="M72" s="4"/>
    </row>
    <row r="73" spans="1:13" ht="46.05" customHeight="1">
      <c r="A73" s="7" t="s">
        <v>443</v>
      </c>
      <c r="B73" s="8">
        <v>9</v>
      </c>
      <c r="C73" s="8" t="s">
        <v>501</v>
      </c>
      <c r="D73" s="8" t="s">
        <v>298</v>
      </c>
      <c r="E73" s="8" t="s">
        <v>502</v>
      </c>
      <c r="F73" s="8" t="s">
        <v>437</v>
      </c>
      <c r="G73" s="8" t="s">
        <v>503</v>
      </c>
      <c r="H73" s="8" t="s">
        <v>504</v>
      </c>
      <c r="I73" s="8" t="s">
        <v>505</v>
      </c>
      <c r="J73" s="8" t="s">
        <v>506</v>
      </c>
      <c r="K73" s="8" t="s">
        <v>507</v>
      </c>
      <c r="L73" s="20" t="s">
        <v>86</v>
      </c>
      <c r="M73" s="4"/>
    </row>
    <row r="74" spans="1:13" ht="58.1" customHeight="1">
      <c r="A74" s="7" t="s">
        <v>443</v>
      </c>
      <c r="B74" s="8">
        <v>10</v>
      </c>
      <c r="C74" s="8" t="s">
        <v>508</v>
      </c>
      <c r="D74" s="8" t="s">
        <v>229</v>
      </c>
      <c r="E74" s="8" t="s">
        <v>509</v>
      </c>
      <c r="F74" s="8" t="s">
        <v>510</v>
      </c>
      <c r="G74" s="8" t="s">
        <v>511</v>
      </c>
      <c r="H74" s="8" t="s">
        <v>512</v>
      </c>
      <c r="I74" s="8" t="s">
        <v>513</v>
      </c>
      <c r="J74" s="8" t="s">
        <v>514</v>
      </c>
      <c r="K74" s="8" t="s">
        <v>515</v>
      </c>
      <c r="L74" s="20" t="s">
        <v>516</v>
      </c>
      <c r="M74" s="4"/>
    </row>
    <row r="75" spans="1:13" ht="58.1" customHeight="1">
      <c r="A75" s="7" t="s">
        <v>517</v>
      </c>
      <c r="B75" s="8">
        <v>1</v>
      </c>
      <c r="C75" s="8" t="s">
        <v>518</v>
      </c>
      <c r="D75" s="8" t="s">
        <v>171</v>
      </c>
      <c r="E75" s="8" t="s">
        <v>519</v>
      </c>
      <c r="F75" s="8" t="s">
        <v>520</v>
      </c>
      <c r="G75" s="8" t="s">
        <v>521</v>
      </c>
      <c r="H75" s="8" t="s">
        <v>522</v>
      </c>
      <c r="I75" s="8" t="s">
        <v>523</v>
      </c>
      <c r="J75" s="8" t="s">
        <v>524</v>
      </c>
      <c r="K75" s="8" t="s">
        <v>525</v>
      </c>
      <c r="L75" s="20" t="s">
        <v>86</v>
      </c>
      <c r="M75" s="4"/>
    </row>
    <row r="76" spans="1:13" ht="46.05" customHeight="1">
      <c r="A76" s="10" t="s">
        <v>517</v>
      </c>
      <c r="B76" s="11">
        <v>2</v>
      </c>
      <c r="C76" s="11" t="s">
        <v>526</v>
      </c>
      <c r="D76" s="11" t="s">
        <v>171</v>
      </c>
      <c r="E76" s="11" t="s">
        <v>519</v>
      </c>
      <c r="F76" s="11" t="s">
        <v>520</v>
      </c>
      <c r="G76" s="11" t="s">
        <v>527</v>
      </c>
      <c r="H76" s="11" t="s">
        <v>528</v>
      </c>
      <c r="I76" s="11" t="s">
        <v>529</v>
      </c>
      <c r="J76" s="11" t="s">
        <v>530</v>
      </c>
      <c r="K76" s="11" t="s">
        <v>531</v>
      </c>
      <c r="L76" s="26" t="s">
        <v>86</v>
      </c>
      <c r="M76" s="5"/>
    </row>
  </sheetData>
  <mergeCells count="2">
    <mergeCell ref="A2:M2"/>
    <mergeCell ref="A1:M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abSelected="1" topLeftCell="A13" workbookViewId="0">
      <selection activeCell="C19" sqref="C19"/>
    </sheetView>
  </sheetViews>
  <sheetFormatPr defaultRowHeight="13.6"/>
  <cols>
    <col min="1" max="1" width="9" customWidth="1"/>
    <col min="2" max="2" width="7" customWidth="1"/>
    <col min="3" max="3" width="24" customWidth="1"/>
    <col min="4" max="4" width="16" customWidth="1"/>
    <col min="5" max="5" width="22" customWidth="1"/>
    <col min="6" max="6" width="28" customWidth="1"/>
    <col min="7" max="7" width="36" customWidth="1"/>
    <col min="8" max="8" width="42" customWidth="1"/>
    <col min="9" max="9" width="43" customWidth="1"/>
    <col min="10" max="10" width="15" customWidth="1"/>
  </cols>
  <sheetData>
    <row r="1" spans="1:10" ht="21.1" customHeight="1">
      <c r="A1" s="39" t="s">
        <v>532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7" t="s">
        <v>533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22.1" customHeight="1">
      <c r="A4" s="1" t="s">
        <v>534</v>
      </c>
      <c r="B4" s="2" t="s">
        <v>65</v>
      </c>
      <c r="C4" s="2" t="s">
        <v>66</v>
      </c>
      <c r="D4" s="2" t="s">
        <v>535</v>
      </c>
      <c r="E4" s="2" t="s">
        <v>536</v>
      </c>
      <c r="F4" s="2" t="s">
        <v>537</v>
      </c>
      <c r="G4" s="2" t="s">
        <v>538</v>
      </c>
      <c r="H4" s="2" t="s">
        <v>74</v>
      </c>
      <c r="I4" s="2" t="s">
        <v>539</v>
      </c>
      <c r="J4" s="3" t="s">
        <v>38</v>
      </c>
    </row>
    <row r="5" spans="1:10" ht="22.1" customHeight="1">
      <c r="A5" s="7" t="s">
        <v>540</v>
      </c>
      <c r="B5" s="8">
        <v>1</v>
      </c>
      <c r="C5" s="8" t="s">
        <v>501</v>
      </c>
      <c r="D5" s="8" t="s">
        <v>541</v>
      </c>
      <c r="E5" s="8" t="s">
        <v>171</v>
      </c>
      <c r="F5" s="8" t="s">
        <v>542</v>
      </c>
      <c r="G5" s="8" t="s">
        <v>543</v>
      </c>
      <c r="H5" s="8" t="s">
        <v>507</v>
      </c>
      <c r="I5" s="8" t="s">
        <v>544</v>
      </c>
      <c r="J5" s="27" t="s">
        <v>86</v>
      </c>
    </row>
    <row r="6" spans="1:10" ht="48.1" customHeight="1">
      <c r="A6" s="7" t="s">
        <v>540</v>
      </c>
      <c r="B6" s="8">
        <v>2</v>
      </c>
      <c r="C6" s="8" t="s">
        <v>140</v>
      </c>
      <c r="D6" s="8" t="s">
        <v>541</v>
      </c>
      <c r="E6" s="8" t="s">
        <v>141</v>
      </c>
      <c r="F6" s="8" t="s">
        <v>143</v>
      </c>
      <c r="G6" s="8" t="s">
        <v>286</v>
      </c>
      <c r="H6" s="8" t="s">
        <v>147</v>
      </c>
      <c r="I6" s="8" t="s">
        <v>545</v>
      </c>
      <c r="J6" s="27" t="s">
        <v>86</v>
      </c>
    </row>
    <row r="7" spans="1:10" ht="22.1" customHeight="1">
      <c r="A7" s="7" t="s">
        <v>546</v>
      </c>
      <c r="B7" s="8">
        <v>1</v>
      </c>
      <c r="C7" s="8" t="s">
        <v>435</v>
      </c>
      <c r="D7" s="8" t="s">
        <v>547</v>
      </c>
      <c r="E7" s="8" t="s">
        <v>171</v>
      </c>
      <c r="F7" s="8" t="s">
        <v>542</v>
      </c>
      <c r="G7" s="8" t="s">
        <v>548</v>
      </c>
      <c r="H7" s="8" t="s">
        <v>442</v>
      </c>
      <c r="I7" s="8" t="s">
        <v>549</v>
      </c>
      <c r="J7" s="27" t="s">
        <v>86</v>
      </c>
    </row>
    <row r="8" spans="1:10" ht="48.1" customHeight="1">
      <c r="A8" s="7" t="s">
        <v>546</v>
      </c>
      <c r="B8" s="8">
        <v>2</v>
      </c>
      <c r="C8" s="8" t="s">
        <v>140</v>
      </c>
      <c r="D8" s="8" t="s">
        <v>547</v>
      </c>
      <c r="E8" s="8" t="s">
        <v>141</v>
      </c>
      <c r="F8" s="8" t="s">
        <v>143</v>
      </c>
      <c r="G8" s="8" t="s">
        <v>286</v>
      </c>
      <c r="H8" s="8" t="s">
        <v>147</v>
      </c>
      <c r="I8" s="8" t="s">
        <v>545</v>
      </c>
      <c r="J8" s="27" t="s">
        <v>86</v>
      </c>
    </row>
    <row r="9" spans="1:10" ht="22.1" customHeight="1">
      <c r="A9" s="7" t="s">
        <v>550</v>
      </c>
      <c r="B9" s="8">
        <v>1</v>
      </c>
      <c r="C9" s="8" t="s">
        <v>508</v>
      </c>
      <c r="D9" s="8" t="s">
        <v>541</v>
      </c>
      <c r="E9" s="8" t="s">
        <v>171</v>
      </c>
      <c r="F9" s="8" t="s">
        <v>510</v>
      </c>
      <c r="G9" s="8" t="s">
        <v>551</v>
      </c>
      <c r="H9" s="8" t="s">
        <v>515</v>
      </c>
      <c r="I9" s="8" t="s">
        <v>552</v>
      </c>
      <c r="J9" s="27" t="s">
        <v>86</v>
      </c>
    </row>
    <row r="10" spans="1:10" ht="22.1" customHeight="1">
      <c r="A10" s="7" t="s">
        <v>550</v>
      </c>
      <c r="B10" s="8">
        <v>2</v>
      </c>
      <c r="C10" s="8" t="s">
        <v>479</v>
      </c>
      <c r="D10" s="8" t="s">
        <v>541</v>
      </c>
      <c r="E10" s="8" t="s">
        <v>78</v>
      </c>
      <c r="F10" s="8" t="s">
        <v>481</v>
      </c>
      <c r="G10" s="8" t="s">
        <v>553</v>
      </c>
      <c r="H10" s="8" t="s">
        <v>486</v>
      </c>
      <c r="I10" s="8" t="s">
        <v>554</v>
      </c>
      <c r="J10" s="27" t="s">
        <v>86</v>
      </c>
    </row>
    <row r="11" spans="1:10" ht="22.1" customHeight="1">
      <c r="A11" s="7" t="s">
        <v>550</v>
      </c>
      <c r="B11" s="8">
        <v>3</v>
      </c>
      <c r="C11" s="8" t="s">
        <v>555</v>
      </c>
      <c r="D11" s="8" t="s">
        <v>541</v>
      </c>
      <c r="E11" s="8" t="s">
        <v>78</v>
      </c>
      <c r="F11" s="8" t="s">
        <v>556</v>
      </c>
      <c r="G11" s="8" t="s">
        <v>557</v>
      </c>
      <c r="H11" s="8" t="s">
        <v>558</v>
      </c>
      <c r="I11" s="8" t="s">
        <v>559</v>
      </c>
      <c r="J11" s="27" t="s">
        <v>86</v>
      </c>
    </row>
    <row r="12" spans="1:10" ht="22.1" customHeight="1">
      <c r="A12" s="7" t="s">
        <v>550</v>
      </c>
      <c r="B12" s="8">
        <v>4</v>
      </c>
      <c r="C12" s="8" t="s">
        <v>495</v>
      </c>
      <c r="D12" s="8" t="s">
        <v>541</v>
      </c>
      <c r="E12" s="8" t="s">
        <v>78</v>
      </c>
      <c r="F12" s="8" t="s">
        <v>560</v>
      </c>
      <c r="G12" s="8" t="s">
        <v>561</v>
      </c>
      <c r="H12" s="8" t="s">
        <v>500</v>
      </c>
      <c r="I12" s="8" t="s">
        <v>562</v>
      </c>
      <c r="J12" s="28" t="s">
        <v>237</v>
      </c>
    </row>
    <row r="13" spans="1:10" ht="23.8" customHeight="1">
      <c r="A13" s="7" t="s">
        <v>563</v>
      </c>
      <c r="B13" s="8">
        <v>1</v>
      </c>
      <c r="C13" s="8" t="s">
        <v>444</v>
      </c>
      <c r="D13" s="8" t="s">
        <v>541</v>
      </c>
      <c r="E13" s="8" t="s">
        <v>171</v>
      </c>
      <c r="F13" s="8" t="s">
        <v>446</v>
      </c>
      <c r="G13" s="8" t="s">
        <v>564</v>
      </c>
      <c r="H13" s="8" t="s">
        <v>451</v>
      </c>
      <c r="I13" s="8" t="s">
        <v>450</v>
      </c>
      <c r="J13" s="27" t="s">
        <v>86</v>
      </c>
    </row>
    <row r="14" spans="1:10" ht="22.1" customHeight="1">
      <c r="A14" s="7" t="s">
        <v>563</v>
      </c>
      <c r="B14" s="8">
        <v>2</v>
      </c>
      <c r="C14" s="8" t="s">
        <v>565</v>
      </c>
      <c r="D14" s="8" t="s">
        <v>541</v>
      </c>
      <c r="E14" s="8" t="s">
        <v>171</v>
      </c>
      <c r="F14" s="8" t="s">
        <v>566</v>
      </c>
      <c r="G14" s="8" t="s">
        <v>567</v>
      </c>
      <c r="H14" s="8" t="s">
        <v>568</v>
      </c>
      <c r="I14" s="8" t="s">
        <v>569</v>
      </c>
      <c r="J14" s="27" t="s">
        <v>86</v>
      </c>
    </row>
    <row r="15" spans="1:10" ht="22.1" customHeight="1">
      <c r="A15" s="7" t="s">
        <v>563</v>
      </c>
      <c r="B15" s="8">
        <v>3</v>
      </c>
      <c r="C15" s="8" t="s">
        <v>471</v>
      </c>
      <c r="D15" s="8" t="s">
        <v>541</v>
      </c>
      <c r="E15" s="8" t="s">
        <v>78</v>
      </c>
      <c r="F15" s="8" t="s">
        <v>560</v>
      </c>
      <c r="G15" s="8" t="s">
        <v>570</v>
      </c>
      <c r="H15" s="8" t="s">
        <v>478</v>
      </c>
      <c r="I15" s="8" t="s">
        <v>571</v>
      </c>
      <c r="J15" s="28" t="s">
        <v>237</v>
      </c>
    </row>
    <row r="16" spans="1:10" ht="22.1" customHeight="1">
      <c r="A16" s="7" t="s">
        <v>572</v>
      </c>
      <c r="B16" s="8">
        <v>1</v>
      </c>
      <c r="C16" s="8" t="s">
        <v>361</v>
      </c>
      <c r="D16" s="8" t="s">
        <v>547</v>
      </c>
      <c r="E16" s="8" t="s">
        <v>171</v>
      </c>
      <c r="F16" s="8" t="s">
        <v>573</v>
      </c>
      <c r="G16" s="8" t="s">
        <v>574</v>
      </c>
      <c r="H16" s="8" t="s">
        <v>368</v>
      </c>
      <c r="I16" s="8" t="s">
        <v>575</v>
      </c>
      <c r="J16" s="27" t="s">
        <v>86</v>
      </c>
    </row>
    <row r="17" spans="1:10" ht="22.1" customHeight="1">
      <c r="A17" s="7" t="s">
        <v>572</v>
      </c>
      <c r="B17" s="8">
        <v>2</v>
      </c>
      <c r="C17" s="8" t="s">
        <v>375</v>
      </c>
      <c r="D17" s="8" t="s">
        <v>547</v>
      </c>
      <c r="E17" s="8" t="s">
        <v>171</v>
      </c>
      <c r="F17" s="8" t="s">
        <v>573</v>
      </c>
      <c r="G17" s="8" t="s">
        <v>576</v>
      </c>
      <c r="H17" s="8" t="s">
        <v>377</v>
      </c>
      <c r="I17" s="8" t="s">
        <v>577</v>
      </c>
      <c r="J17" s="27" t="s">
        <v>86</v>
      </c>
    </row>
    <row r="18" spans="1:10" ht="22.1" customHeight="1">
      <c r="A18" s="7" t="s">
        <v>572</v>
      </c>
      <c r="B18" s="8">
        <v>3</v>
      </c>
      <c r="C18" s="8" t="s">
        <v>383</v>
      </c>
      <c r="D18" s="8" t="s">
        <v>547</v>
      </c>
      <c r="E18" s="8" t="s">
        <v>171</v>
      </c>
      <c r="F18" s="8" t="s">
        <v>573</v>
      </c>
      <c r="G18" s="8" t="s">
        <v>578</v>
      </c>
      <c r="H18" s="8" t="s">
        <v>385</v>
      </c>
      <c r="I18" s="8" t="s">
        <v>579</v>
      </c>
      <c r="J18" s="27" t="s">
        <v>86</v>
      </c>
    </row>
    <row r="19" spans="1:10" ht="22.1" customHeight="1">
      <c r="A19" s="7" t="s">
        <v>572</v>
      </c>
      <c r="B19" s="8">
        <v>4</v>
      </c>
      <c r="C19" s="8" t="s">
        <v>391</v>
      </c>
      <c r="D19" s="8" t="s">
        <v>547</v>
      </c>
      <c r="E19" s="8" t="s">
        <v>171</v>
      </c>
      <c r="F19" s="8" t="s">
        <v>573</v>
      </c>
      <c r="G19" s="8" t="s">
        <v>580</v>
      </c>
      <c r="H19" s="8" t="s">
        <v>393</v>
      </c>
      <c r="I19" s="8" t="s">
        <v>581</v>
      </c>
      <c r="J19" s="27" t="s">
        <v>86</v>
      </c>
    </row>
    <row r="20" spans="1:10" ht="22.1" customHeight="1">
      <c r="A20" s="7" t="s">
        <v>582</v>
      </c>
      <c r="B20" s="8">
        <v>1</v>
      </c>
      <c r="C20" s="8" t="s">
        <v>435</v>
      </c>
      <c r="D20" s="8" t="s">
        <v>547</v>
      </c>
      <c r="E20" s="8" t="s">
        <v>171</v>
      </c>
      <c r="F20" s="8" t="s">
        <v>542</v>
      </c>
      <c r="G20" s="8" t="s">
        <v>548</v>
      </c>
      <c r="H20" s="8" t="s">
        <v>442</v>
      </c>
      <c r="I20" s="8" t="s">
        <v>549</v>
      </c>
      <c r="J20" s="27" t="s">
        <v>86</v>
      </c>
    </row>
    <row r="21" spans="1:10" ht="22.1" customHeight="1">
      <c r="A21" s="7" t="s">
        <v>582</v>
      </c>
      <c r="B21" s="8">
        <v>2</v>
      </c>
      <c r="C21" s="8" t="s">
        <v>583</v>
      </c>
      <c r="D21" s="8" t="s">
        <v>547</v>
      </c>
      <c r="E21" s="8" t="s">
        <v>584</v>
      </c>
      <c r="F21" s="8" t="s">
        <v>29</v>
      </c>
      <c r="G21" s="8" t="s">
        <v>585</v>
      </c>
      <c r="H21" s="8" t="s">
        <v>586</v>
      </c>
      <c r="I21" s="8" t="s">
        <v>587</v>
      </c>
      <c r="J21" s="27" t="s">
        <v>86</v>
      </c>
    </row>
    <row r="22" spans="1:10" ht="22.1" customHeight="1">
      <c r="A22" s="7" t="s">
        <v>588</v>
      </c>
      <c r="B22" s="8">
        <v>1</v>
      </c>
      <c r="C22" s="8" t="s">
        <v>400</v>
      </c>
      <c r="D22" s="8" t="s">
        <v>547</v>
      </c>
      <c r="E22" s="8" t="s">
        <v>171</v>
      </c>
      <c r="F22" s="8" t="s">
        <v>573</v>
      </c>
      <c r="G22" s="8" t="s">
        <v>589</v>
      </c>
      <c r="H22" s="8" t="s">
        <v>406</v>
      </c>
      <c r="I22" s="8" t="s">
        <v>590</v>
      </c>
      <c r="J22" s="27" t="s">
        <v>86</v>
      </c>
    </row>
    <row r="23" spans="1:10" ht="48.1" customHeight="1">
      <c r="A23" s="7" t="s">
        <v>588</v>
      </c>
      <c r="B23" s="8">
        <v>2</v>
      </c>
      <c r="C23" s="8" t="s">
        <v>140</v>
      </c>
      <c r="D23" s="8" t="s">
        <v>547</v>
      </c>
      <c r="E23" s="8" t="s">
        <v>141</v>
      </c>
      <c r="F23" s="8" t="s">
        <v>143</v>
      </c>
      <c r="G23" s="8" t="s">
        <v>286</v>
      </c>
      <c r="H23" s="8" t="s">
        <v>147</v>
      </c>
      <c r="I23" s="8" t="s">
        <v>545</v>
      </c>
      <c r="J23" s="27" t="s">
        <v>86</v>
      </c>
    </row>
    <row r="24" spans="1:10" ht="94.1" customHeight="1">
      <c r="A24" s="7" t="s">
        <v>591</v>
      </c>
      <c r="B24" s="8">
        <v>1</v>
      </c>
      <c r="C24" s="8" t="s">
        <v>297</v>
      </c>
      <c r="D24" s="8" t="s">
        <v>592</v>
      </c>
      <c r="E24" s="8" t="s">
        <v>593</v>
      </c>
      <c r="F24" s="8" t="s">
        <v>297</v>
      </c>
      <c r="G24" s="8" t="s">
        <v>594</v>
      </c>
      <c r="H24" s="8" t="s">
        <v>305</v>
      </c>
      <c r="I24" s="8" t="s">
        <v>595</v>
      </c>
      <c r="J24" s="27" t="s">
        <v>86</v>
      </c>
    </row>
    <row r="25" spans="1:10" ht="48.1" customHeight="1">
      <c r="A25" s="7" t="s">
        <v>591</v>
      </c>
      <c r="B25" s="8">
        <v>2</v>
      </c>
      <c r="C25" s="8" t="s">
        <v>140</v>
      </c>
      <c r="D25" s="8" t="s">
        <v>592</v>
      </c>
      <c r="E25" s="8" t="s">
        <v>141</v>
      </c>
      <c r="F25" s="8" t="s">
        <v>143</v>
      </c>
      <c r="G25" s="8" t="s">
        <v>286</v>
      </c>
      <c r="H25" s="8" t="s">
        <v>147</v>
      </c>
      <c r="I25" s="8" t="s">
        <v>545</v>
      </c>
      <c r="J25" s="27" t="s">
        <v>86</v>
      </c>
    </row>
    <row r="26" spans="1:10" ht="22.1" customHeight="1">
      <c r="A26" s="7" t="s">
        <v>596</v>
      </c>
      <c r="B26" s="8">
        <v>1</v>
      </c>
      <c r="C26" s="8" t="s">
        <v>555</v>
      </c>
      <c r="D26" s="8" t="s">
        <v>597</v>
      </c>
      <c r="E26" s="8" t="s">
        <v>598</v>
      </c>
      <c r="F26" s="8" t="s">
        <v>556</v>
      </c>
      <c r="G26" s="8" t="s">
        <v>599</v>
      </c>
      <c r="H26" s="8" t="s">
        <v>558</v>
      </c>
      <c r="I26" s="8" t="s">
        <v>559</v>
      </c>
      <c r="J26" s="27" t="s">
        <v>86</v>
      </c>
    </row>
    <row r="27" spans="1:10" ht="34" customHeight="1">
      <c r="A27" s="7" t="s">
        <v>596</v>
      </c>
      <c r="B27" s="8">
        <v>2</v>
      </c>
      <c r="C27" s="8" t="s">
        <v>452</v>
      </c>
      <c r="D27" s="8" t="s">
        <v>597</v>
      </c>
      <c r="E27" s="8" t="s">
        <v>171</v>
      </c>
      <c r="F27" s="8" t="s">
        <v>600</v>
      </c>
      <c r="G27" s="8" t="s">
        <v>601</v>
      </c>
      <c r="H27" s="8" t="s">
        <v>459</v>
      </c>
      <c r="I27" s="8" t="s">
        <v>602</v>
      </c>
      <c r="J27" s="16" t="s">
        <v>86</v>
      </c>
    </row>
    <row r="28" spans="1:10" ht="22.1" customHeight="1">
      <c r="A28" s="7" t="s">
        <v>603</v>
      </c>
      <c r="B28" s="8">
        <v>1</v>
      </c>
      <c r="C28" s="8" t="s">
        <v>395</v>
      </c>
      <c r="D28" s="8" t="s">
        <v>604</v>
      </c>
      <c r="E28" s="8" t="s">
        <v>396</v>
      </c>
      <c r="F28" s="8" t="s">
        <v>144</v>
      </c>
      <c r="G28" s="8" t="s">
        <v>398</v>
      </c>
      <c r="H28" s="8" t="s">
        <v>398</v>
      </c>
      <c r="I28" s="8" t="s">
        <v>397</v>
      </c>
      <c r="J28" s="29" t="s">
        <v>395</v>
      </c>
    </row>
    <row r="29" spans="1:10" ht="34" customHeight="1">
      <c r="A29" s="7" t="s">
        <v>603</v>
      </c>
      <c r="B29" s="8">
        <v>2</v>
      </c>
      <c r="C29" s="8" t="s">
        <v>429</v>
      </c>
      <c r="D29" s="8" t="s">
        <v>604</v>
      </c>
      <c r="E29" s="8" t="s">
        <v>171</v>
      </c>
      <c r="F29" s="8" t="s">
        <v>605</v>
      </c>
      <c r="G29" s="8" t="s">
        <v>606</v>
      </c>
      <c r="H29" s="8" t="s">
        <v>434</v>
      </c>
      <c r="I29" s="8" t="s">
        <v>607</v>
      </c>
      <c r="J29" s="27" t="s">
        <v>86</v>
      </c>
    </row>
    <row r="30" spans="1:10" ht="22.1" customHeight="1">
      <c r="A30" s="7" t="s">
        <v>608</v>
      </c>
      <c r="B30" s="8">
        <v>1</v>
      </c>
      <c r="C30" s="8" t="s">
        <v>211</v>
      </c>
      <c r="D30" s="8" t="s">
        <v>597</v>
      </c>
      <c r="E30" s="8" t="s">
        <v>171</v>
      </c>
      <c r="F30" s="8" t="s">
        <v>609</v>
      </c>
      <c r="G30" s="8" t="s">
        <v>610</v>
      </c>
      <c r="H30" s="8" t="s">
        <v>218</v>
      </c>
      <c r="I30" s="8" t="s">
        <v>611</v>
      </c>
      <c r="J30" s="28" t="s">
        <v>102</v>
      </c>
    </row>
    <row r="31" spans="1:10" ht="22.1" customHeight="1">
      <c r="A31" s="7" t="s">
        <v>608</v>
      </c>
      <c r="B31" s="8">
        <v>2</v>
      </c>
      <c r="C31" s="8" t="s">
        <v>220</v>
      </c>
      <c r="D31" s="8" t="s">
        <v>597</v>
      </c>
      <c r="E31" s="8" t="s">
        <v>171</v>
      </c>
      <c r="F31" s="8" t="s">
        <v>609</v>
      </c>
      <c r="G31" s="8" t="s">
        <v>612</v>
      </c>
      <c r="H31" s="8" t="s">
        <v>223</v>
      </c>
      <c r="I31" s="8" t="s">
        <v>613</v>
      </c>
      <c r="J31" s="28" t="s">
        <v>102</v>
      </c>
    </row>
    <row r="32" spans="1:10" ht="22.1" customHeight="1">
      <c r="A32" s="7" t="s">
        <v>608</v>
      </c>
      <c r="B32" s="8">
        <v>3</v>
      </c>
      <c r="C32" s="8" t="s">
        <v>224</v>
      </c>
      <c r="D32" s="8" t="s">
        <v>597</v>
      </c>
      <c r="E32" s="8" t="s">
        <v>171</v>
      </c>
      <c r="F32" s="8" t="s">
        <v>609</v>
      </c>
      <c r="G32" s="8" t="s">
        <v>614</v>
      </c>
      <c r="H32" s="8" t="s">
        <v>227</v>
      </c>
      <c r="I32" s="8" t="s">
        <v>615</v>
      </c>
      <c r="J32" s="28" t="s">
        <v>102</v>
      </c>
    </row>
    <row r="33" spans="1:10" ht="22.1" customHeight="1">
      <c r="A33" s="7" t="s">
        <v>616</v>
      </c>
      <c r="B33" s="8">
        <v>1</v>
      </c>
      <c r="C33" s="8" t="s">
        <v>228</v>
      </c>
      <c r="D33" s="8" t="s">
        <v>597</v>
      </c>
      <c r="E33" s="8" t="s">
        <v>171</v>
      </c>
      <c r="F33" s="8" t="s">
        <v>617</v>
      </c>
      <c r="G33" s="8" t="s">
        <v>618</v>
      </c>
      <c r="H33" s="8" t="s">
        <v>236</v>
      </c>
      <c r="I33" s="8" t="s">
        <v>619</v>
      </c>
      <c r="J33" s="28" t="s">
        <v>237</v>
      </c>
    </row>
    <row r="34" spans="1:10" ht="22.1" customHeight="1">
      <c r="A34" s="7" t="s">
        <v>616</v>
      </c>
      <c r="B34" s="8">
        <v>2</v>
      </c>
      <c r="C34" s="8" t="s">
        <v>238</v>
      </c>
      <c r="D34" s="8" t="s">
        <v>597</v>
      </c>
      <c r="E34" s="8" t="s">
        <v>171</v>
      </c>
      <c r="F34" s="8" t="s">
        <v>620</v>
      </c>
      <c r="G34" s="8" t="s">
        <v>621</v>
      </c>
      <c r="H34" s="8" t="s">
        <v>244</v>
      </c>
      <c r="I34" s="8" t="s">
        <v>619</v>
      </c>
      <c r="J34" s="28" t="s">
        <v>237</v>
      </c>
    </row>
    <row r="35" spans="1:10" ht="48.1" customHeight="1">
      <c r="A35" s="7" t="s">
        <v>622</v>
      </c>
      <c r="B35" s="8">
        <v>1</v>
      </c>
      <c r="C35" s="8" t="s">
        <v>140</v>
      </c>
      <c r="D35" s="8" t="s">
        <v>623</v>
      </c>
      <c r="E35" s="8" t="s">
        <v>141</v>
      </c>
      <c r="F35" s="8" t="s">
        <v>143</v>
      </c>
      <c r="G35" s="8" t="s">
        <v>286</v>
      </c>
      <c r="H35" s="8" t="s">
        <v>147</v>
      </c>
      <c r="I35" s="8" t="s">
        <v>545</v>
      </c>
      <c r="J35" s="27" t="s">
        <v>86</v>
      </c>
    </row>
    <row r="36" spans="1:10" ht="94.1" customHeight="1">
      <c r="A36" s="7" t="s">
        <v>622</v>
      </c>
      <c r="B36" s="8">
        <v>2</v>
      </c>
      <c r="C36" s="8" t="s">
        <v>297</v>
      </c>
      <c r="D36" s="8" t="s">
        <v>623</v>
      </c>
      <c r="E36" s="8" t="s">
        <v>593</v>
      </c>
      <c r="F36" s="8" t="s">
        <v>297</v>
      </c>
      <c r="G36" s="8" t="s">
        <v>594</v>
      </c>
      <c r="H36" s="8" t="s">
        <v>305</v>
      </c>
      <c r="I36" s="8" t="s">
        <v>595</v>
      </c>
      <c r="J36" s="27" t="s">
        <v>86</v>
      </c>
    </row>
    <row r="37" spans="1:10" ht="22.1" customHeight="1">
      <c r="A37" s="7" t="s">
        <v>624</v>
      </c>
      <c r="B37" s="8">
        <v>1</v>
      </c>
      <c r="C37" s="8" t="s">
        <v>415</v>
      </c>
      <c r="D37" s="8" t="s">
        <v>604</v>
      </c>
      <c r="E37" s="8" t="s">
        <v>78</v>
      </c>
      <c r="F37" s="8" t="s">
        <v>625</v>
      </c>
      <c r="G37" s="8" t="s">
        <v>626</v>
      </c>
      <c r="H37" s="8" t="s">
        <v>422</v>
      </c>
      <c r="I37" s="8" t="s">
        <v>627</v>
      </c>
      <c r="J37" s="27" t="s">
        <v>86</v>
      </c>
    </row>
    <row r="38" spans="1:10" ht="22.1" customHeight="1">
      <c r="A38" s="7" t="s">
        <v>624</v>
      </c>
      <c r="B38" s="8">
        <v>2</v>
      </c>
      <c r="C38" s="8" t="s">
        <v>423</v>
      </c>
      <c r="D38" s="8" t="s">
        <v>604</v>
      </c>
      <c r="E38" s="8" t="s">
        <v>78</v>
      </c>
      <c r="F38" s="8" t="s">
        <v>628</v>
      </c>
      <c r="G38" s="8" t="s">
        <v>629</v>
      </c>
      <c r="H38" s="8" t="s">
        <v>428</v>
      </c>
      <c r="I38" s="8" t="s">
        <v>630</v>
      </c>
      <c r="J38" s="27" t="s">
        <v>86</v>
      </c>
    </row>
    <row r="39" spans="1:10" ht="22.1" customHeight="1">
      <c r="A39" s="7" t="s">
        <v>631</v>
      </c>
      <c r="B39" s="8">
        <v>1</v>
      </c>
      <c r="C39" s="8" t="s">
        <v>395</v>
      </c>
      <c r="D39" s="8" t="s">
        <v>604</v>
      </c>
      <c r="E39" s="8" t="s">
        <v>396</v>
      </c>
      <c r="F39" s="8" t="s">
        <v>144</v>
      </c>
      <c r="G39" s="8" t="s">
        <v>398</v>
      </c>
      <c r="H39" s="8" t="s">
        <v>398</v>
      </c>
      <c r="I39" s="8" t="s">
        <v>397</v>
      </c>
      <c r="J39" s="29" t="s">
        <v>395</v>
      </c>
    </row>
    <row r="40" spans="1:10" ht="34" customHeight="1">
      <c r="A40" s="7" t="s">
        <v>631</v>
      </c>
      <c r="B40" s="8">
        <v>2</v>
      </c>
      <c r="C40" s="8" t="s">
        <v>407</v>
      </c>
      <c r="D40" s="8" t="s">
        <v>604</v>
      </c>
      <c r="E40" s="8" t="s">
        <v>171</v>
      </c>
      <c r="F40" s="8" t="s">
        <v>605</v>
      </c>
      <c r="G40" s="8" t="s">
        <v>632</v>
      </c>
      <c r="H40" s="8" t="s">
        <v>414</v>
      </c>
      <c r="I40" s="8" t="s">
        <v>633</v>
      </c>
      <c r="J40" s="27" t="s">
        <v>86</v>
      </c>
    </row>
    <row r="41" spans="1:10" ht="22.1" customHeight="1">
      <c r="A41" s="7" t="s">
        <v>634</v>
      </c>
      <c r="B41" s="8">
        <v>1</v>
      </c>
      <c r="C41" s="8" t="s">
        <v>378</v>
      </c>
      <c r="D41" s="8" t="s">
        <v>604</v>
      </c>
      <c r="E41" s="8" t="s">
        <v>171</v>
      </c>
      <c r="F41" s="8" t="s">
        <v>351</v>
      </c>
      <c r="G41" s="8" t="s">
        <v>635</v>
      </c>
      <c r="H41" s="8" t="s">
        <v>636</v>
      </c>
      <c r="I41" s="8" t="s">
        <v>637</v>
      </c>
      <c r="J41" s="27" t="s">
        <v>86</v>
      </c>
    </row>
    <row r="42" spans="1:10" ht="22.1" customHeight="1">
      <c r="A42" s="7" t="s">
        <v>634</v>
      </c>
      <c r="B42" s="8">
        <v>2</v>
      </c>
      <c r="C42" s="8" t="s">
        <v>386</v>
      </c>
      <c r="D42" s="8" t="s">
        <v>604</v>
      </c>
      <c r="E42" s="8" t="s">
        <v>171</v>
      </c>
      <c r="F42" s="8" t="s">
        <v>343</v>
      </c>
      <c r="G42" s="8" t="s">
        <v>638</v>
      </c>
      <c r="H42" s="8" t="s">
        <v>639</v>
      </c>
      <c r="I42" s="8" t="s">
        <v>640</v>
      </c>
      <c r="J42" s="27" t="s">
        <v>86</v>
      </c>
    </row>
    <row r="43" spans="1:10" ht="22.1" customHeight="1">
      <c r="A43" s="7" t="s">
        <v>641</v>
      </c>
      <c r="B43" s="8">
        <v>1</v>
      </c>
      <c r="C43" s="8" t="s">
        <v>642</v>
      </c>
      <c r="D43" s="8" t="s">
        <v>597</v>
      </c>
      <c r="E43" s="8" t="s">
        <v>78</v>
      </c>
      <c r="F43" s="8" t="s">
        <v>643</v>
      </c>
      <c r="G43" s="8" t="s">
        <v>644</v>
      </c>
      <c r="H43" s="8" t="s">
        <v>645</v>
      </c>
      <c r="I43" s="8" t="s">
        <v>646</v>
      </c>
      <c r="J43" s="27" t="s">
        <v>86</v>
      </c>
    </row>
    <row r="44" spans="1:10" ht="22.1" customHeight="1">
      <c r="A44" s="7" t="s">
        <v>641</v>
      </c>
      <c r="B44" s="8">
        <v>2</v>
      </c>
      <c r="C44" s="8" t="s">
        <v>647</v>
      </c>
      <c r="D44" s="8" t="s">
        <v>597</v>
      </c>
      <c r="E44" s="8" t="s">
        <v>78</v>
      </c>
      <c r="F44" s="8" t="s">
        <v>643</v>
      </c>
      <c r="G44" s="8" t="s">
        <v>648</v>
      </c>
      <c r="H44" s="8" t="s">
        <v>649</v>
      </c>
      <c r="I44" s="8" t="s">
        <v>650</v>
      </c>
      <c r="J44" s="27" t="s">
        <v>86</v>
      </c>
    </row>
    <row r="45" spans="1:10" ht="22.1" customHeight="1">
      <c r="A45" s="7" t="s">
        <v>641</v>
      </c>
      <c r="B45" s="8">
        <v>3</v>
      </c>
      <c r="C45" s="8" t="s">
        <v>651</v>
      </c>
      <c r="D45" s="8" t="s">
        <v>597</v>
      </c>
      <c r="E45" s="8" t="s">
        <v>652</v>
      </c>
      <c r="F45" s="8" t="s">
        <v>653</v>
      </c>
      <c r="G45" s="8" t="s">
        <v>654</v>
      </c>
      <c r="H45" s="8" t="s">
        <v>655</v>
      </c>
      <c r="I45" s="8" t="s">
        <v>656</v>
      </c>
      <c r="J45" s="30" t="s">
        <v>657</v>
      </c>
    </row>
    <row r="46" spans="1:10" ht="22.1" customHeight="1">
      <c r="A46" s="7" t="s">
        <v>658</v>
      </c>
      <c r="B46" s="8">
        <v>1</v>
      </c>
      <c r="C46" s="8" t="s">
        <v>356</v>
      </c>
      <c r="D46" s="8" t="s">
        <v>604</v>
      </c>
      <c r="E46" s="8" t="s">
        <v>171</v>
      </c>
      <c r="F46" s="8" t="s">
        <v>351</v>
      </c>
      <c r="G46" s="8" t="s">
        <v>659</v>
      </c>
      <c r="H46" s="8" t="s">
        <v>660</v>
      </c>
      <c r="I46" s="8" t="s">
        <v>661</v>
      </c>
      <c r="J46" s="27" t="s">
        <v>86</v>
      </c>
    </row>
    <row r="47" spans="1:10" ht="22.1" customHeight="1">
      <c r="A47" s="7" t="s">
        <v>658</v>
      </c>
      <c r="B47" s="8">
        <v>2</v>
      </c>
      <c r="C47" s="8" t="s">
        <v>370</v>
      </c>
      <c r="D47" s="8" t="s">
        <v>604</v>
      </c>
      <c r="E47" s="8" t="s">
        <v>171</v>
      </c>
      <c r="F47" s="8" t="s">
        <v>343</v>
      </c>
      <c r="G47" s="8" t="s">
        <v>662</v>
      </c>
      <c r="H47" s="8" t="s">
        <v>663</v>
      </c>
      <c r="I47" s="8" t="s">
        <v>664</v>
      </c>
      <c r="J47" s="27" t="s">
        <v>86</v>
      </c>
    </row>
    <row r="48" spans="1:10" ht="22.1" customHeight="1">
      <c r="A48" s="7" t="s">
        <v>665</v>
      </c>
      <c r="B48" s="8">
        <v>1</v>
      </c>
      <c r="C48" s="8" t="s">
        <v>583</v>
      </c>
      <c r="D48" s="8" t="s">
        <v>597</v>
      </c>
      <c r="E48" s="8" t="s">
        <v>584</v>
      </c>
      <c r="F48" s="8" t="s">
        <v>29</v>
      </c>
      <c r="G48" s="8" t="s">
        <v>585</v>
      </c>
      <c r="H48" s="8" t="s">
        <v>586</v>
      </c>
      <c r="I48" s="8" t="s">
        <v>587</v>
      </c>
      <c r="J48" s="27" t="s">
        <v>86</v>
      </c>
    </row>
    <row r="49" spans="1:10" ht="22.1" customHeight="1">
      <c r="A49" s="7" t="s">
        <v>665</v>
      </c>
      <c r="B49" s="8">
        <v>2</v>
      </c>
      <c r="C49" s="8" t="s">
        <v>487</v>
      </c>
      <c r="D49" s="8" t="s">
        <v>597</v>
      </c>
      <c r="E49" s="8" t="s">
        <v>78</v>
      </c>
      <c r="F49" s="8" t="s">
        <v>488</v>
      </c>
      <c r="G49" s="8" t="s">
        <v>666</v>
      </c>
      <c r="H49" s="8" t="s">
        <v>494</v>
      </c>
      <c r="I49" s="8" t="s">
        <v>667</v>
      </c>
      <c r="J49" s="27" t="s">
        <v>86</v>
      </c>
    </row>
    <row r="50" spans="1:10" ht="22.1" customHeight="1">
      <c r="A50" s="7" t="s">
        <v>668</v>
      </c>
      <c r="B50" s="8">
        <v>1</v>
      </c>
      <c r="C50" s="8" t="s">
        <v>340</v>
      </c>
      <c r="D50" s="8" t="s">
        <v>604</v>
      </c>
      <c r="E50" s="8" t="s">
        <v>171</v>
      </c>
      <c r="F50" s="8" t="s">
        <v>343</v>
      </c>
      <c r="G50" s="8" t="s">
        <v>669</v>
      </c>
      <c r="H50" s="8" t="s">
        <v>670</v>
      </c>
      <c r="I50" s="8" t="s">
        <v>671</v>
      </c>
      <c r="J50" s="27" t="s">
        <v>86</v>
      </c>
    </row>
    <row r="51" spans="1:10" ht="22.1" customHeight="1">
      <c r="A51" s="10" t="s">
        <v>668</v>
      </c>
      <c r="B51" s="11">
        <v>2</v>
      </c>
      <c r="C51" s="11" t="s">
        <v>350</v>
      </c>
      <c r="D51" s="11" t="s">
        <v>604</v>
      </c>
      <c r="E51" s="11" t="s">
        <v>171</v>
      </c>
      <c r="F51" s="11" t="s">
        <v>351</v>
      </c>
      <c r="G51" s="11" t="s">
        <v>672</v>
      </c>
      <c r="H51" s="11" t="s">
        <v>673</v>
      </c>
      <c r="I51" s="11" t="s">
        <v>674</v>
      </c>
      <c r="J51" s="31" t="s">
        <v>86</v>
      </c>
    </row>
  </sheetData>
  <mergeCells count="2">
    <mergeCell ref="A1:J1"/>
    <mergeCell ref="A2:J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G1"/>
    </sheetView>
  </sheetViews>
  <sheetFormatPr defaultRowHeight="13.6"/>
  <cols>
    <col min="1" max="1" width="14" customWidth="1"/>
    <col min="2" max="2" width="27" customWidth="1"/>
    <col min="3" max="3" width="18" customWidth="1"/>
    <col min="4" max="4" width="23" customWidth="1"/>
    <col min="5" max="5" width="25" customWidth="1"/>
    <col min="6" max="6" width="48" customWidth="1"/>
    <col min="7" max="7" width="40" customWidth="1"/>
  </cols>
  <sheetData>
    <row r="1" spans="1:7" ht="21.1" customHeight="1">
      <c r="A1" s="39" t="s">
        <v>675</v>
      </c>
      <c r="B1" s="38"/>
      <c r="C1" s="38"/>
      <c r="D1" s="38"/>
      <c r="E1" s="38"/>
      <c r="F1" s="38"/>
      <c r="G1" s="38"/>
    </row>
    <row r="2" spans="1:7">
      <c r="A2" s="37" t="s">
        <v>676</v>
      </c>
      <c r="B2" s="38"/>
      <c r="C2" s="38"/>
      <c r="D2" s="38"/>
      <c r="E2" s="38"/>
      <c r="F2" s="38"/>
      <c r="G2" s="38"/>
    </row>
    <row r="4" spans="1:7" ht="22.1" customHeight="1">
      <c r="A4" s="1" t="s">
        <v>677</v>
      </c>
      <c r="B4" s="2" t="s">
        <v>678</v>
      </c>
      <c r="C4" s="2" t="s">
        <v>67</v>
      </c>
      <c r="D4" s="2" t="s">
        <v>679</v>
      </c>
      <c r="E4" s="2" t="s">
        <v>680</v>
      </c>
      <c r="F4" s="2" t="s">
        <v>681</v>
      </c>
      <c r="G4" s="3" t="s">
        <v>682</v>
      </c>
    </row>
    <row r="5" spans="1:7" ht="34" customHeight="1">
      <c r="A5" s="7" t="s">
        <v>683</v>
      </c>
      <c r="B5" s="8" t="s">
        <v>170</v>
      </c>
      <c r="C5" s="8" t="s">
        <v>684</v>
      </c>
      <c r="D5" s="8" t="s">
        <v>685</v>
      </c>
      <c r="E5" s="8" t="s">
        <v>686</v>
      </c>
      <c r="F5" s="8" t="s">
        <v>687</v>
      </c>
      <c r="G5" s="9" t="s">
        <v>688</v>
      </c>
    </row>
    <row r="6" spans="1:7" ht="34" customHeight="1">
      <c r="A6" s="7" t="s">
        <v>689</v>
      </c>
      <c r="B6" s="8" t="s">
        <v>179</v>
      </c>
      <c r="C6" s="8" t="s">
        <v>684</v>
      </c>
      <c r="D6" s="8" t="s">
        <v>690</v>
      </c>
      <c r="E6" s="8" t="s">
        <v>691</v>
      </c>
      <c r="F6" s="8" t="s">
        <v>692</v>
      </c>
      <c r="G6" s="9" t="s">
        <v>693</v>
      </c>
    </row>
    <row r="7" spans="1:7" ht="22.1" customHeight="1">
      <c r="A7" s="7" t="s">
        <v>694</v>
      </c>
      <c r="B7" s="8" t="s">
        <v>188</v>
      </c>
      <c r="C7" s="8" t="s">
        <v>684</v>
      </c>
      <c r="D7" s="8" t="s">
        <v>685</v>
      </c>
      <c r="E7" s="8" t="s">
        <v>686</v>
      </c>
      <c r="F7" s="8" t="s">
        <v>695</v>
      </c>
      <c r="G7" s="9" t="s">
        <v>696</v>
      </c>
    </row>
    <row r="8" spans="1:7" ht="22.1" customHeight="1">
      <c r="A8" s="7" t="s">
        <v>697</v>
      </c>
      <c r="B8" s="8" t="s">
        <v>194</v>
      </c>
      <c r="C8" s="8" t="s">
        <v>684</v>
      </c>
      <c r="D8" s="8" t="s">
        <v>685</v>
      </c>
      <c r="E8" s="8" t="s">
        <v>686</v>
      </c>
      <c r="F8" s="8" t="s">
        <v>698</v>
      </c>
      <c r="G8" s="9" t="s">
        <v>696</v>
      </c>
    </row>
    <row r="9" spans="1:7" ht="22.1" customHeight="1">
      <c r="A9" s="7" t="s">
        <v>699</v>
      </c>
      <c r="B9" s="8" t="s">
        <v>199</v>
      </c>
      <c r="C9" s="8" t="s">
        <v>684</v>
      </c>
      <c r="D9" s="8" t="s">
        <v>690</v>
      </c>
      <c r="E9" s="8" t="s">
        <v>700</v>
      </c>
      <c r="F9" s="8" t="s">
        <v>701</v>
      </c>
      <c r="G9" s="9" t="s">
        <v>702</v>
      </c>
    </row>
    <row r="10" spans="1:7" ht="22.1" customHeight="1">
      <c r="A10" s="7" t="s">
        <v>703</v>
      </c>
      <c r="B10" s="8" t="s">
        <v>205</v>
      </c>
      <c r="C10" s="8" t="s">
        <v>684</v>
      </c>
      <c r="D10" s="8" t="s">
        <v>690</v>
      </c>
      <c r="E10" s="8" t="s">
        <v>700</v>
      </c>
      <c r="F10" s="8" t="s">
        <v>704</v>
      </c>
      <c r="G10" s="9" t="s">
        <v>702</v>
      </c>
    </row>
    <row r="11" spans="1:7" ht="34" customHeight="1">
      <c r="A11" s="7" t="s">
        <v>705</v>
      </c>
      <c r="B11" s="8" t="s">
        <v>211</v>
      </c>
      <c r="C11" s="8" t="s">
        <v>684</v>
      </c>
      <c r="D11" s="8" t="s">
        <v>706</v>
      </c>
      <c r="E11" s="8" t="s">
        <v>707</v>
      </c>
      <c r="F11" s="8" t="s">
        <v>708</v>
      </c>
      <c r="G11" s="9" t="s">
        <v>709</v>
      </c>
    </row>
    <row r="12" spans="1:7" ht="34" customHeight="1">
      <c r="A12" s="7" t="s">
        <v>710</v>
      </c>
      <c r="B12" s="8" t="s">
        <v>220</v>
      </c>
      <c r="C12" s="8" t="s">
        <v>684</v>
      </c>
      <c r="D12" s="8" t="s">
        <v>706</v>
      </c>
      <c r="E12" s="8" t="s">
        <v>707</v>
      </c>
      <c r="F12" s="8" t="s">
        <v>711</v>
      </c>
      <c r="G12" s="9" t="s">
        <v>712</v>
      </c>
    </row>
    <row r="13" spans="1:7" ht="34" customHeight="1">
      <c r="A13" s="7" t="s">
        <v>713</v>
      </c>
      <c r="B13" s="8" t="s">
        <v>224</v>
      </c>
      <c r="C13" s="8" t="s">
        <v>684</v>
      </c>
      <c r="D13" s="8" t="s">
        <v>706</v>
      </c>
      <c r="E13" s="8" t="s">
        <v>707</v>
      </c>
      <c r="F13" s="8" t="s">
        <v>714</v>
      </c>
      <c r="G13" s="9" t="s">
        <v>715</v>
      </c>
    </row>
    <row r="14" spans="1:7" ht="34" customHeight="1">
      <c r="A14" s="7" t="s">
        <v>716</v>
      </c>
      <c r="B14" s="8" t="s">
        <v>247</v>
      </c>
      <c r="C14" s="8" t="s">
        <v>684</v>
      </c>
      <c r="D14" s="8" t="s">
        <v>717</v>
      </c>
      <c r="E14" s="8" t="s">
        <v>718</v>
      </c>
      <c r="F14" s="8" t="s">
        <v>719</v>
      </c>
      <c r="G14" s="9" t="s">
        <v>720</v>
      </c>
    </row>
    <row r="15" spans="1:7" ht="34" customHeight="1">
      <c r="A15" s="7" t="s">
        <v>721</v>
      </c>
      <c r="B15" s="8" t="s">
        <v>255</v>
      </c>
      <c r="C15" s="8" t="s">
        <v>684</v>
      </c>
      <c r="D15" s="8" t="s">
        <v>717</v>
      </c>
      <c r="E15" s="8" t="s">
        <v>718</v>
      </c>
      <c r="F15" s="8" t="s">
        <v>722</v>
      </c>
      <c r="G15" s="9" t="s">
        <v>720</v>
      </c>
    </row>
    <row r="16" spans="1:7" ht="34" customHeight="1">
      <c r="A16" s="7" t="s">
        <v>723</v>
      </c>
      <c r="B16" s="8" t="s">
        <v>261</v>
      </c>
      <c r="C16" s="8" t="s">
        <v>684</v>
      </c>
      <c r="D16" s="8" t="s">
        <v>717</v>
      </c>
      <c r="E16" s="8" t="s">
        <v>718</v>
      </c>
      <c r="F16" s="8" t="s">
        <v>724</v>
      </c>
      <c r="G16" s="9" t="s">
        <v>720</v>
      </c>
    </row>
    <row r="17" spans="1:7" ht="34" customHeight="1">
      <c r="A17" s="7" t="s">
        <v>725</v>
      </c>
      <c r="B17" s="8" t="s">
        <v>266</v>
      </c>
      <c r="C17" s="8" t="s">
        <v>684</v>
      </c>
      <c r="D17" s="8" t="s">
        <v>717</v>
      </c>
      <c r="E17" s="8" t="s">
        <v>718</v>
      </c>
      <c r="F17" s="8" t="s">
        <v>726</v>
      </c>
      <c r="G17" s="9" t="s">
        <v>720</v>
      </c>
    </row>
    <row r="18" spans="1:7" ht="22.1" customHeight="1">
      <c r="A18" s="7" t="s">
        <v>727</v>
      </c>
      <c r="B18" s="8" t="s">
        <v>271</v>
      </c>
      <c r="C18" s="8" t="s">
        <v>728</v>
      </c>
      <c r="D18" s="8" t="s">
        <v>729</v>
      </c>
      <c r="E18" s="8" t="s">
        <v>730</v>
      </c>
      <c r="F18" s="8" t="s">
        <v>731</v>
      </c>
      <c r="G18" s="9" t="s">
        <v>732</v>
      </c>
    </row>
    <row r="19" spans="1:7" ht="22.1" customHeight="1">
      <c r="A19" s="7" t="s">
        <v>733</v>
      </c>
      <c r="B19" s="8" t="s">
        <v>280</v>
      </c>
      <c r="C19" s="8" t="s">
        <v>728</v>
      </c>
      <c r="D19" s="8" t="s">
        <v>729</v>
      </c>
      <c r="E19" s="8" t="s">
        <v>730</v>
      </c>
      <c r="F19" s="8" t="s">
        <v>734</v>
      </c>
      <c r="G19" s="9" t="s">
        <v>732</v>
      </c>
    </row>
    <row r="20" spans="1:7" ht="22.1" customHeight="1">
      <c r="A20" s="7" t="s">
        <v>735</v>
      </c>
      <c r="B20" s="8" t="s">
        <v>307</v>
      </c>
      <c r="C20" s="8" t="s">
        <v>728</v>
      </c>
      <c r="D20" s="8" t="s">
        <v>729</v>
      </c>
      <c r="E20" s="8" t="s">
        <v>736</v>
      </c>
      <c r="F20" s="8" t="s">
        <v>737</v>
      </c>
      <c r="G20" s="9" t="s">
        <v>738</v>
      </c>
    </row>
    <row r="21" spans="1:7" ht="22.1" customHeight="1">
      <c r="A21" s="7" t="s">
        <v>739</v>
      </c>
      <c r="B21" s="8" t="s">
        <v>444</v>
      </c>
      <c r="C21" s="8" t="s">
        <v>740</v>
      </c>
      <c r="D21" s="8" t="s">
        <v>446</v>
      </c>
      <c r="E21" s="8" t="s">
        <v>741</v>
      </c>
      <c r="F21" s="8" t="s">
        <v>742</v>
      </c>
      <c r="G21" s="9" t="s">
        <v>743</v>
      </c>
    </row>
    <row r="22" spans="1:7" ht="22.1" customHeight="1">
      <c r="A22" s="7" t="s">
        <v>744</v>
      </c>
      <c r="B22" s="8" t="s">
        <v>461</v>
      </c>
      <c r="C22" s="8" t="s">
        <v>740</v>
      </c>
      <c r="D22" s="8" t="s">
        <v>745</v>
      </c>
      <c r="E22" s="8" t="s">
        <v>746</v>
      </c>
      <c r="F22" s="8" t="s">
        <v>747</v>
      </c>
      <c r="G22" s="9" t="s">
        <v>748</v>
      </c>
    </row>
    <row r="23" spans="1:7" ht="22.1" customHeight="1">
      <c r="A23" s="7" t="s">
        <v>749</v>
      </c>
      <c r="B23" s="8" t="s">
        <v>471</v>
      </c>
      <c r="C23" s="8" t="s">
        <v>750</v>
      </c>
      <c r="D23" s="8" t="s">
        <v>560</v>
      </c>
      <c r="E23" s="8" t="s">
        <v>751</v>
      </c>
      <c r="F23" s="8" t="s">
        <v>472</v>
      </c>
      <c r="G23" s="9" t="s">
        <v>752</v>
      </c>
    </row>
    <row r="24" spans="1:7" ht="22.1" customHeight="1">
      <c r="A24" s="10" t="s">
        <v>753</v>
      </c>
      <c r="B24" s="11" t="s">
        <v>495</v>
      </c>
      <c r="C24" s="11" t="s">
        <v>750</v>
      </c>
      <c r="D24" s="11" t="s">
        <v>560</v>
      </c>
      <c r="E24" s="11" t="s">
        <v>751</v>
      </c>
      <c r="F24" s="11" t="s">
        <v>754</v>
      </c>
      <c r="G24" s="12" t="s">
        <v>752</v>
      </c>
    </row>
  </sheetData>
  <mergeCells count="2">
    <mergeCell ref="A2:G2"/>
    <mergeCell ref="A1:G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/>
  </sheetViews>
  <sheetFormatPr defaultRowHeight="13.6"/>
  <cols>
    <col min="1" max="1" width="9" customWidth="1"/>
    <col min="2" max="2" width="12" customWidth="1"/>
    <col min="3" max="3" width="32" customWidth="1"/>
    <col min="4" max="4" width="47" customWidth="1"/>
    <col min="5" max="5" width="42" customWidth="1"/>
    <col min="6" max="6" width="48" customWidth="1"/>
    <col min="7" max="7" width="18" customWidth="1"/>
  </cols>
  <sheetData>
    <row r="1" spans="1:7" ht="21.1" customHeight="1">
      <c r="A1" s="39" t="s">
        <v>755</v>
      </c>
      <c r="B1" s="38"/>
      <c r="C1" s="38"/>
      <c r="D1" s="38"/>
      <c r="E1" s="38"/>
      <c r="F1" s="38"/>
      <c r="G1" s="38"/>
    </row>
    <row r="2" spans="1:7">
      <c r="A2" s="37" t="s">
        <v>756</v>
      </c>
      <c r="B2" s="38"/>
      <c r="C2" s="38"/>
      <c r="D2" s="38"/>
      <c r="E2" s="38"/>
      <c r="F2" s="38"/>
      <c r="G2" s="38"/>
    </row>
    <row r="3" spans="1:7" ht="14.3">
      <c r="A3" s="13"/>
      <c r="B3" s="32"/>
      <c r="C3" s="13"/>
      <c r="D3" s="13"/>
      <c r="E3" s="13"/>
      <c r="F3" s="13"/>
      <c r="G3" s="13"/>
    </row>
    <row r="4" spans="1:7" ht="22.1" customHeight="1">
      <c r="A4" s="1" t="s">
        <v>757</v>
      </c>
      <c r="B4" s="2" t="s">
        <v>758</v>
      </c>
      <c r="C4" s="2" t="s">
        <v>759</v>
      </c>
      <c r="D4" s="2" t="s">
        <v>760</v>
      </c>
      <c r="E4" s="2" t="s">
        <v>33</v>
      </c>
      <c r="F4" s="2" t="s">
        <v>761</v>
      </c>
      <c r="G4" s="3" t="s">
        <v>38</v>
      </c>
    </row>
    <row r="5" spans="1:7" ht="34" customHeight="1">
      <c r="A5" s="13" t="s">
        <v>762</v>
      </c>
      <c r="B5" s="32" t="s">
        <v>763</v>
      </c>
      <c r="C5" s="13" t="s">
        <v>764</v>
      </c>
      <c r="D5" s="13" t="s">
        <v>765</v>
      </c>
      <c r="E5" s="13" t="s">
        <v>766</v>
      </c>
      <c r="F5" s="13" t="s">
        <v>767</v>
      </c>
      <c r="G5" s="13" t="s">
        <v>46</v>
      </c>
    </row>
    <row r="6" spans="1:7" ht="22.1" customHeight="1">
      <c r="A6" s="13" t="s">
        <v>768</v>
      </c>
      <c r="B6" s="33" t="s">
        <v>769</v>
      </c>
      <c r="C6" s="13" t="s">
        <v>770</v>
      </c>
      <c r="D6" s="13" t="s">
        <v>771</v>
      </c>
      <c r="E6" s="13" t="s">
        <v>772</v>
      </c>
      <c r="F6" s="13" t="s">
        <v>773</v>
      </c>
      <c r="G6" s="34" t="s">
        <v>774</v>
      </c>
    </row>
    <row r="7" spans="1:7" ht="22.1" customHeight="1">
      <c r="A7" s="13" t="s">
        <v>775</v>
      </c>
      <c r="B7" s="35" t="s">
        <v>776</v>
      </c>
      <c r="C7" s="13" t="s">
        <v>777</v>
      </c>
      <c r="D7" s="13" t="s">
        <v>778</v>
      </c>
      <c r="E7" s="13" t="s">
        <v>779</v>
      </c>
      <c r="F7" s="13" t="s">
        <v>780</v>
      </c>
      <c r="G7" s="13" t="s">
        <v>54</v>
      </c>
    </row>
    <row r="8" spans="1:7" ht="22.1" customHeight="1">
      <c r="A8" s="13" t="s">
        <v>781</v>
      </c>
      <c r="B8" s="35" t="s">
        <v>776</v>
      </c>
      <c r="C8" s="13" t="s">
        <v>782</v>
      </c>
      <c r="D8" s="13" t="s">
        <v>783</v>
      </c>
      <c r="E8" s="13" t="s">
        <v>784</v>
      </c>
      <c r="F8" s="13" t="s">
        <v>785</v>
      </c>
      <c r="G8" s="13" t="s">
        <v>54</v>
      </c>
    </row>
    <row r="9" spans="1:7" ht="22.1" customHeight="1">
      <c r="A9" s="13" t="s">
        <v>786</v>
      </c>
      <c r="B9" s="35" t="s">
        <v>776</v>
      </c>
      <c r="C9" s="13" t="s">
        <v>787</v>
      </c>
      <c r="D9" s="13" t="s">
        <v>788</v>
      </c>
      <c r="E9" s="13" t="s">
        <v>789</v>
      </c>
      <c r="F9" s="13" t="s">
        <v>790</v>
      </c>
      <c r="G9" s="13" t="s">
        <v>46</v>
      </c>
    </row>
    <row r="10" spans="1:7" ht="34" customHeight="1">
      <c r="A10" s="13" t="s">
        <v>791</v>
      </c>
      <c r="B10" s="35" t="s">
        <v>776</v>
      </c>
      <c r="C10" s="13" t="s">
        <v>792</v>
      </c>
      <c r="D10" s="13" t="s">
        <v>793</v>
      </c>
      <c r="E10" s="13" t="s">
        <v>794</v>
      </c>
      <c r="F10" s="13" t="s">
        <v>795</v>
      </c>
      <c r="G10" s="13" t="s">
        <v>796</v>
      </c>
    </row>
    <row r="11" spans="1:7" ht="22.1" customHeight="1">
      <c r="A11" s="13" t="s">
        <v>797</v>
      </c>
      <c r="B11" s="33" t="s">
        <v>769</v>
      </c>
      <c r="C11" s="13" t="s">
        <v>798</v>
      </c>
      <c r="D11" s="13" t="s">
        <v>799</v>
      </c>
      <c r="E11" s="13" t="s">
        <v>800</v>
      </c>
      <c r="F11" s="13" t="s">
        <v>801</v>
      </c>
      <c r="G11" s="34" t="s">
        <v>774</v>
      </c>
    </row>
    <row r="12" spans="1:7" ht="34" customHeight="1">
      <c r="A12" s="13" t="s">
        <v>802</v>
      </c>
      <c r="B12" s="33" t="s">
        <v>763</v>
      </c>
      <c r="C12" s="13" t="s">
        <v>803</v>
      </c>
      <c r="D12" s="13" t="s">
        <v>804</v>
      </c>
      <c r="E12" s="13" t="s">
        <v>805</v>
      </c>
      <c r="F12" s="13" t="s">
        <v>806</v>
      </c>
      <c r="G12" s="36" t="s">
        <v>807</v>
      </c>
    </row>
    <row r="13" spans="1:7" ht="22.1" customHeight="1">
      <c r="A13" s="13" t="s">
        <v>808</v>
      </c>
      <c r="B13" s="35" t="s">
        <v>769</v>
      </c>
      <c r="C13" s="13" t="s">
        <v>809</v>
      </c>
      <c r="D13" s="13" t="s">
        <v>810</v>
      </c>
      <c r="E13" s="13" t="s">
        <v>811</v>
      </c>
      <c r="F13" s="13" t="s">
        <v>812</v>
      </c>
      <c r="G13" s="13" t="s">
        <v>813</v>
      </c>
    </row>
    <row r="14" spans="1:7" ht="34" customHeight="1">
      <c r="A14" s="13" t="s">
        <v>814</v>
      </c>
      <c r="B14" s="35" t="s">
        <v>776</v>
      </c>
      <c r="C14" s="13" t="s">
        <v>815</v>
      </c>
      <c r="D14" s="13" t="s">
        <v>816</v>
      </c>
      <c r="E14" s="13" t="s">
        <v>817</v>
      </c>
      <c r="F14" s="13" t="s">
        <v>818</v>
      </c>
      <c r="G14" s="13" t="s">
        <v>46</v>
      </c>
    </row>
    <row r="15" spans="1:7" ht="34" customHeight="1">
      <c r="A15" s="13" t="s">
        <v>819</v>
      </c>
      <c r="B15" s="35" t="s">
        <v>776</v>
      </c>
      <c r="C15" s="13" t="s">
        <v>820</v>
      </c>
      <c r="D15" s="13" t="s">
        <v>821</v>
      </c>
      <c r="E15" s="13" t="s">
        <v>822</v>
      </c>
      <c r="F15" s="13" t="s">
        <v>823</v>
      </c>
      <c r="G15" s="13" t="s">
        <v>46</v>
      </c>
    </row>
    <row r="16" spans="1:7" ht="34" customHeight="1">
      <c r="A16" s="13" t="s">
        <v>824</v>
      </c>
      <c r="B16" s="35" t="s">
        <v>763</v>
      </c>
      <c r="C16" s="13" t="s">
        <v>825</v>
      </c>
      <c r="D16" s="13" t="s">
        <v>826</v>
      </c>
      <c r="E16" s="13" t="s">
        <v>827</v>
      </c>
      <c r="F16" s="13" t="s">
        <v>828</v>
      </c>
      <c r="G16" s="13" t="s">
        <v>46</v>
      </c>
    </row>
    <row r="17" spans="1:7" ht="22.1" customHeight="1">
      <c r="A17" s="13" t="s">
        <v>829</v>
      </c>
      <c r="B17" s="35" t="s">
        <v>763</v>
      </c>
      <c r="C17" s="13" t="s">
        <v>830</v>
      </c>
      <c r="D17" s="13" t="s">
        <v>831</v>
      </c>
      <c r="E17" s="13" t="s">
        <v>832</v>
      </c>
      <c r="F17" s="13" t="s">
        <v>833</v>
      </c>
      <c r="G17" s="13" t="s">
        <v>834</v>
      </c>
    </row>
    <row r="18" spans="1:7" ht="34" customHeight="1"/>
  </sheetData>
  <mergeCells count="2">
    <mergeCell ref="A2:G2"/>
    <mergeCell ref="A1:G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3.6"/>
  <cols>
    <col min="1" max="1" width="14" customWidth="1"/>
    <col min="2" max="2" width="29" customWidth="1"/>
    <col min="3" max="3" width="55" customWidth="1"/>
    <col min="4" max="4" width="70" customWidth="1"/>
    <col min="5" max="5" width="33" customWidth="1"/>
    <col min="6" max="6" width="37" customWidth="1"/>
  </cols>
  <sheetData>
    <row r="1" spans="1:6" ht="21.1" customHeight="1">
      <c r="A1" s="39" t="s">
        <v>835</v>
      </c>
      <c r="B1" s="38"/>
      <c r="C1" s="38"/>
      <c r="D1" s="38"/>
      <c r="E1" s="38"/>
      <c r="F1" s="38"/>
    </row>
    <row r="2" spans="1:6">
      <c r="A2" s="37" t="s">
        <v>836</v>
      </c>
      <c r="B2" s="38"/>
      <c r="C2" s="38"/>
      <c r="D2" s="38"/>
      <c r="E2" s="38"/>
      <c r="F2" s="38"/>
    </row>
    <row r="4" spans="1:6" ht="22.1" customHeight="1">
      <c r="A4" s="1" t="s">
        <v>837</v>
      </c>
      <c r="B4" s="2" t="s">
        <v>838</v>
      </c>
      <c r="C4" s="2" t="s">
        <v>839</v>
      </c>
      <c r="D4" s="2" t="s">
        <v>840</v>
      </c>
      <c r="E4" s="2" t="s">
        <v>841</v>
      </c>
      <c r="F4" s="3" t="s">
        <v>75</v>
      </c>
    </row>
    <row r="5" spans="1:6" ht="34" customHeight="1">
      <c r="A5" s="7" t="s">
        <v>842</v>
      </c>
      <c r="B5" s="8" t="s">
        <v>843</v>
      </c>
      <c r="C5" s="8" t="s">
        <v>844</v>
      </c>
      <c r="D5" s="8" t="s">
        <v>845</v>
      </c>
      <c r="E5" s="8" t="s">
        <v>846</v>
      </c>
      <c r="F5" s="9" t="s">
        <v>847</v>
      </c>
    </row>
    <row r="6" spans="1:6" ht="34" customHeight="1">
      <c r="A6" s="7" t="s">
        <v>842</v>
      </c>
      <c r="B6" s="8" t="s">
        <v>848</v>
      </c>
      <c r="C6" s="8" t="s">
        <v>849</v>
      </c>
      <c r="D6" s="8" t="s">
        <v>845</v>
      </c>
      <c r="E6" s="8" t="s">
        <v>850</v>
      </c>
      <c r="F6" s="9" t="s">
        <v>851</v>
      </c>
    </row>
    <row r="7" spans="1:6" ht="34" customHeight="1">
      <c r="A7" s="7" t="s">
        <v>852</v>
      </c>
      <c r="B7" s="8" t="s">
        <v>853</v>
      </c>
      <c r="C7" s="8" t="s">
        <v>854</v>
      </c>
      <c r="D7" s="8" t="s">
        <v>845</v>
      </c>
      <c r="E7" s="8" t="s">
        <v>855</v>
      </c>
      <c r="F7" s="9" t="s">
        <v>856</v>
      </c>
    </row>
    <row r="8" spans="1:6" ht="34" customHeight="1">
      <c r="A8" s="7" t="s">
        <v>857</v>
      </c>
      <c r="B8" s="8" t="s">
        <v>858</v>
      </c>
      <c r="C8" s="8" t="s">
        <v>859</v>
      </c>
      <c r="D8" s="8" t="s">
        <v>860</v>
      </c>
      <c r="E8" s="8" t="s">
        <v>861</v>
      </c>
      <c r="F8" s="9" t="s">
        <v>862</v>
      </c>
    </row>
    <row r="9" spans="1:6" ht="22.1" customHeight="1">
      <c r="A9" s="7" t="s">
        <v>857</v>
      </c>
      <c r="B9" s="8" t="s">
        <v>863</v>
      </c>
      <c r="C9" s="8" t="s">
        <v>864</v>
      </c>
      <c r="D9" s="8" t="s">
        <v>865</v>
      </c>
      <c r="E9" s="8" t="s">
        <v>866</v>
      </c>
      <c r="F9" s="4"/>
    </row>
    <row r="10" spans="1:6" ht="34" customHeight="1">
      <c r="A10" s="7" t="s">
        <v>857</v>
      </c>
      <c r="B10" s="8" t="s">
        <v>867</v>
      </c>
      <c r="C10" s="8" t="s">
        <v>868</v>
      </c>
      <c r="D10" s="8" t="s">
        <v>869</v>
      </c>
      <c r="E10" s="8" t="s">
        <v>870</v>
      </c>
      <c r="F10" s="4"/>
    </row>
    <row r="11" spans="1:6" ht="34" customHeight="1">
      <c r="A11" s="7" t="s">
        <v>857</v>
      </c>
      <c r="B11" s="8" t="s">
        <v>871</v>
      </c>
      <c r="C11" s="8" t="s">
        <v>872</v>
      </c>
      <c r="D11" s="8" t="s">
        <v>873</v>
      </c>
      <c r="E11" s="8" t="s">
        <v>874</v>
      </c>
      <c r="F11" s="4"/>
    </row>
    <row r="12" spans="1:6" ht="34" customHeight="1">
      <c r="A12" s="7" t="s">
        <v>857</v>
      </c>
      <c r="B12" s="8" t="s">
        <v>875</v>
      </c>
      <c r="C12" s="8" t="s">
        <v>876</v>
      </c>
      <c r="D12" s="8" t="s">
        <v>877</v>
      </c>
      <c r="E12" s="8" t="s">
        <v>878</v>
      </c>
      <c r="F12" s="4"/>
    </row>
    <row r="13" spans="1:6" ht="22.1" customHeight="1">
      <c r="A13" s="7" t="s">
        <v>857</v>
      </c>
      <c r="B13" s="8" t="s">
        <v>879</v>
      </c>
      <c r="C13" s="8" t="s">
        <v>880</v>
      </c>
      <c r="D13" s="8" t="s">
        <v>881</v>
      </c>
      <c r="E13" s="8" t="s">
        <v>882</v>
      </c>
      <c r="F13" s="4"/>
    </row>
    <row r="14" spans="1:6" ht="22.1" customHeight="1">
      <c r="A14" s="7" t="s">
        <v>857</v>
      </c>
      <c r="B14" s="8" t="s">
        <v>883</v>
      </c>
      <c r="C14" s="8" t="s">
        <v>884</v>
      </c>
      <c r="D14" s="8" t="s">
        <v>885</v>
      </c>
      <c r="E14" s="8" t="s">
        <v>886</v>
      </c>
      <c r="F14" s="4"/>
    </row>
    <row r="15" spans="1:6" ht="34" customHeight="1">
      <c r="A15" s="10" t="s">
        <v>857</v>
      </c>
      <c r="B15" s="11" t="s">
        <v>887</v>
      </c>
      <c r="C15" s="11" t="s">
        <v>888</v>
      </c>
      <c r="D15" s="11" t="s">
        <v>889</v>
      </c>
      <c r="E15" s="11" t="s">
        <v>890</v>
      </c>
      <c r="F15" s="5"/>
    </row>
  </sheetData>
  <mergeCells count="2">
    <mergeCell ref="A2:F2"/>
    <mergeCell ref="A1:F1"/>
  </mergeCells>
  <phoneticPr fontId="5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外部接口CN7-CN12</vt:lpstr>
      <vt:lpstr>板卡排针H1-H20</vt:lpstr>
      <vt:lpstr>VCU_IO速查</vt:lpstr>
      <vt:lpstr>待确认与测试</vt:lpstr>
      <vt:lpstr>依据与器件手册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思成 林</cp:lastModifiedBy>
  <dcterms:created xsi:type="dcterms:W3CDTF">2026-10-16T13:18:40Z</dcterms:created>
  <dcterms:modified xsi:type="dcterms:W3CDTF">2026-10-16T13:28:06Z</dcterms:modified>
</cp:coreProperties>
</file>