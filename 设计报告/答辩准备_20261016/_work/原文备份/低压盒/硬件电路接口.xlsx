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e9cfde97394b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接口表" sheetId="1" r:id="Ra5f604a906d64a26"/>
    <x:sheet xmlns:r="http://schemas.openxmlformats.org/officeDocument/2006/relationships" name="校核清单" sheetId="2" r:id="Rfaf59c9e69d747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Microsoft YaHei"/>
    </x:font>
    <x:font>
      <x:sz val="10"/>
      <x:color rgb="FF1F4E78"/>
      <x:name val="Microsoft YaHei"/>
    </x:font>
    <x:font>
      <x:b/>
      <x:sz val="11"/>
      <x:color rgb="FFFFFFFF"/>
      <x:name val="Microsoft YaHei"/>
    </x:font>
    <x:font>
      <x:sz val="10"/>
      <x:color rgb="FF1F1F1F"/>
      <x:name val="Microsoft YaHei"/>
    </x:font>
    <x:font>
      <x:b/>
      <x:sz val="11"/>
      <x:color rgb="FF1F4E78"/>
      <x:name val="Microsoft YaHei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7FBFE"/>
      </x:patternFill>
    </x:fill>
    <x:fill>
      <x:patternFill patternType="solid">
        <x:fgColor rgb="FFDDEBF7"/>
      </x:patternFill>
    </x:fill>
    <x:fill>
      <x:patternFill patternType="solid">
        <x:fgColor rgb="FFEEF5FA"/>
      </x:patternFill>
    </x:fill>
    <x:fill>
      <x:patternFill patternType="solid">
        <x:fgColor rgb="FFCFE2F3"/>
      </x:patternFill>
    </x:fill>
    <x:fill>
      <x:patternFill patternType="solid">
        <x:fgColor rgb="FFEEF6FB"/>
      </x:patternFill>
    </x:fill>
    <x:fill>
      <x:patternFill patternType="solid">
        <x:fgColor rgb="FFFFFFFF"/>
      </x:patternFill>
    </x:fill>
  </x:fills>
  <x:borders count="4">
    <x:border/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  <x:border>
      <x:left style="thin">
        <x:color rgb="FFCFD8E3"/>
      </x:left>
      <x:right style="thin">
        <x:color rgb="FFCFD8E3"/>
      </x:right>
      <x:top style="thin">
        <x:color rgb="FFCFD8E3"/>
      </x:top>
      <x:bottom style="thin">
        <x:color rgb="FFCFD8E3"/>
      </x:bottom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2" xfId="0" applyNumberFormat="1" applyFont="1" applyFill="1" applyBorder="1"/>
    <x:xf numFmtId="0" fontId="4" fillId="7" borderId="2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vertical="center" wrapText="1"/>
    </x:xf>
    <x:xf numFmtId="0" fontId="4" fillId="8" borderId="2" xfId="0" applyNumberFormat="1" applyFont="1" applyFill="1" applyBorder="1" applyAlignment="1">
      <x:alignment vertical="center" wrapText="1"/>
    </x:xf>
    <x:xf numFmtId="0" fontId="5" fillId="8" borderId="2" xfId="0" applyNumberFormat="1" applyFont="1" applyFill="1" applyBorder="1" applyAlignment="1">
      <x:alignment vertical="center" wrapText="1"/>
    </x:xf>
    <x:xf numFmtId="0" fontId="5" fillId="8" borderId="3" xfId="0" applyNumberFormat="1" applyFont="1" applyFill="1" applyBorder="1" applyAlignment="1">
      <x:alignment vertical="center" wrapText="1"/>
    </x:xf>
    <x:xf numFmtId="0" fontId="5" fillId="8" borderId="3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9" borderId="2" xfId="0" applyNumberFormat="1" applyFont="1" applyFill="1" applyBorder="1" applyAlignment="1">
      <x:alignment vertical="center" wrapText="1"/>
    </x:xf>
    <x:xf numFmtId="0" fontId="4" fillId="1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1aa6fdb1e74940" /><Relationship Type="http://schemas.openxmlformats.org/officeDocument/2006/relationships/theme" Target="/xl/theme/theme1.xml" Id="R899fc7489f4b4a10" /><Relationship Type="http://schemas.openxmlformats.org/officeDocument/2006/relationships/sharedStrings" Target="/xl/sharedStrings.xml" Id="R89d265ad2e2341fb" /><Relationship Type="http://schemas.openxmlformats.org/officeDocument/2006/relationships/worksheet" Target="/xl/worksheets/sheet1.xml" Id="Ra5f604a906d64a26" /><Relationship Type="http://schemas.openxmlformats.org/officeDocument/2006/relationships/worksheet" Target="/xl/worksheets/sheet2.xml" Id="Rfaf59c9e69d747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7" hidden="0" customWidth="1"/>
    <x:col min="3" max="3" width="11" hidden="0" customWidth="1"/>
    <x:col min="4" max="4" width="11" hidden="0" customWidth="1"/>
    <x:col min="7" max="7" width="11" hidden="0" customWidth="1"/>
    <x:col min="8" max="8" width="11" hidden="0" customWidth="1"/>
    <x:col min="5" max="5" width="23" hidden="0" customWidth="1"/>
    <x:col min="6" max="6" width="23" hidden="0" customWidth="1"/>
    <x:col min="9" max="9" width="23" hidden="0" customWidth="1"/>
    <x:col min="10" max="10" width="23" hidden="0" customWidth="1"/>
  </x:cols>
  <x:sheetData>
    <x:row r="1" ht="34" customHeight="1">
      <x:c r="A1" s="4" t="str">
        <x:v>低压盒硬件电路接口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4" customHeight="1">
      <x:c r="A2" s="8" t="str">
        <x:v>按原表左右分栏；每个信号单独列出；方向以当前板卡为观察点。VCU_WDI例外：由VCU直接推挽输出0–5 V、10 Hz方波；其余VCU接口按各自定义。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 ht="8" customHeight="1"/>
    <x:row r="4" ht="28" customHeight="1">
      <x:c r="A4" s="13" t="str">
        <x:v>板卡</x:v>
      </x:c>
      <x:c r="B4" s="13"/>
      <x:c r="C4" s="13" t="str">
        <x:v>输入/电源/回路信号</x:v>
      </x:c>
      <x:c r="D4" s="13"/>
      <x:c r="E4" s="13" t="str">
        <x:v>逐信号说明</x:v>
      </x:c>
      <x:c r="F4" s="13"/>
      <x:c r="G4" s="13" t="str">
        <x:v>输出/触点信号</x:v>
      </x:c>
      <x:c r="H4" s="13"/>
      <x:c r="I4" s="13" t="str">
        <x:v>逐信号说明</x:v>
      </x:c>
      <x:c r="J4" s="13"/>
    </x:row>
    <x:row r="5" ht="126" customHeight="1">
      <x:c r="A5" s="22" t="str">
        <x:v>BSPD</x:v>
      </x:c>
      <x:c r="B5" s="22"/>
      <x:c r="C5" s="23" t="str">
        <x:v>H1.1
CURRENT</x:v>
      </x:c>
      <x:c r="D5" s="23"/>
      <x:c r="E5" s="18" t="str">
        <x:v>传感器：0~50 A → 0~5 V
目标电流：5 kW / 450 V = 11.11 A
目标电压：5 × 11.11 / 50 ≈ 1.11 V
故障/开路：低于目标阈值为电流条件无效
对接：电流传感器
分压：R25/R26 = 34.8 kΩ/10 kΩ → 约 1.116 V
备注：对应约 11.16 A / 5.02 kW；相对精确目标偏差约 +0.45%，电流阈值分压已修正</x:v>
      </x:c>
      <x:c r="F5" s="18"/>
      <x:c r="G5" s="23" t="str">
        <x:v>H3.2
SC_OUT</x:v>
      </x:c>
      <x:c r="H5" s="23"/>
      <x:c r="I5" s="18" t="str">
        <x:v>安全回路输出
故障/开路：故障/掉电断开
对接：安全回路下游
备注：不是逻辑电压输出</x:v>
      </x:c>
      <x:c r="J5" s="18"/>
    </x:row>
    <x:row r="6" ht="58" customHeight="1">
      <x:c r="A6" s="22"/>
      <x:c r="B6" s="22"/>
      <x:c r="C6" s="23" t="str">
        <x:v>H1.2
GND</x:v>
      </x:c>
      <x:c r="D6" s="23"/>
      <x:c r="E6" s="18" t="str">
        <x:v>0 V
对接：传感器地
备注：bspd.tel H1.2</x:v>
      </x:c>
      <x:c r="F6" s="18"/>
      <x:c r="G6" s="23"/>
      <x:c r="H6" s="23"/>
      <x:c r="I6" s="18"/>
      <x:c r="J6" s="18"/>
    </x:row>
    <x:row r="7" ht="126" customHeight="1">
      <x:c r="A7" s="22"/>
      <x:c r="B7" s="22"/>
      <x:c r="C7" s="23" t="str">
        <x:v>H2.1
OIL4</x:v>
      </x:c>
      <x:c r="D7" s="23"/>
      <x:c r="E7" s="18" t="str">
        <x:v>传感器：0~20 MPa → 0~5 V
目标油压：30 bar = 3 MPa
目标电压：5 × 3 / 20 = 0.75 V
故障/开路：低于目标阈值为制动条件无效
对接：油压传感器4
分压：R27/R28 = 5.62 kΩ/1 kΩ → 约 0.755 V（约 30.2 bar）
备注：与 0.75 V 目标偏差约 +0.7%，油压阈值分压已修正</x:v>
      </x:c>
      <x:c r="F7" s="18"/>
      <x:c r="G7" s="23"/>
      <x:c r="H7" s="23"/>
      <x:c r="I7" s="18"/>
      <x:c r="J7" s="18"/>
    </x:row>
    <x:row r="8" ht="126" customHeight="1">
      <x:c r="A8" s="22"/>
      <x:c r="B8" s="22"/>
      <x:c r="C8" s="23" t="str">
        <x:v>H2.2
OIL3</x:v>
      </x:c>
      <x:c r="D8" s="23"/>
      <x:c r="E8" s="18" t="str">
        <x:v>传感器：0~20 MPa → 0~5 V
目标油压：30 bar = 3 MPa
目标电压：5 × 3 / 20 = 0.75 V
故障/开路：低于目标阈值为制动条件无效
对接：油压传感器3
分压：R27/R28 = 5.62 kΩ/1 kΩ → 约 0.755 V（约 30.2 bar）
备注：与 0.75 V 目标偏差约 +0.7%，油压阈值分压已修正</x:v>
      </x:c>
      <x:c r="F8" s="18"/>
      <x:c r="G8" s="23"/>
      <x:c r="H8" s="23"/>
      <x:c r="I8" s="18"/>
      <x:c r="J8" s="18"/>
    </x:row>
    <x:row r="9" ht="126" customHeight="1">
      <x:c r="A9" s="22"/>
      <x:c r="B9" s="22"/>
      <x:c r="C9" s="23" t="str">
        <x:v>H2.3
OIL2</x:v>
      </x:c>
      <x:c r="D9" s="23"/>
      <x:c r="E9" s="18" t="str">
        <x:v>传感器：0~20 MPa → 0~5 V
目标油压：30 bar = 3 MPa
目标电压：5 × 3 / 20 = 0.75 V
故障/开路：低于目标阈值为制动条件无效
对接：油压传感器2
分压：R27/R28 = 5.62 kΩ/1 kΩ → 约 0.755 V（约 30.2 bar）
备注：与 0.75 V 目标偏差约 +0.7%，油压阈值分压已修正</x:v>
      </x:c>
      <x:c r="F9" s="18"/>
      <x:c r="G9" s="23"/>
      <x:c r="H9" s="23"/>
      <x:c r="I9" s="18"/>
      <x:c r="J9" s="18"/>
    </x:row>
    <x:row r="10" ht="126" customHeight="1">
      <x:c r="A10" s="22"/>
      <x:c r="B10" s="22"/>
      <x:c r="C10" s="23" t="str">
        <x:v>H2.4
OIL1</x:v>
      </x:c>
      <x:c r="D10" s="23"/>
      <x:c r="E10" s="18" t="str">
        <x:v>传感器：0~20 MPa → 0~5 V
目标油压：30 bar = 3 MPa
目标电压：5 × 3 / 20 = 0.75 V
故障/开路：低于目标阈值为制动条件无效
对接：油压传感器1
分压：R27/R28 = 5.62 kΩ/1 kΩ → 约 0.755 V（约 30.2 bar）
备注：与 0.75 V 目标偏差约 +0.7%，油压阈值分压已修正</x:v>
      </x:c>
      <x:c r="F10" s="18"/>
      <x:c r="G10" s="23"/>
      <x:c r="H10" s="23"/>
      <x:c r="I10" s="18"/>
      <x:c r="J10" s="18"/>
    </x:row>
    <x:row r="11" ht="70" customHeight="1">
      <x:c r="A11" s="22"/>
      <x:c r="B11" s="22"/>
      <x:c r="C11" s="23" t="str">
        <x:v>H3.1
SC_IN</x:v>
      </x:c>
      <x:c r="D11" s="23"/>
      <x:c r="E11" s="18" t="str">
        <x:v>安全回路输入
故障/开路：继电器失电时与 SC_OUT 断开
对接：安全回路上游
备注：5 V 常开继电器触点</x:v>
      </x:c>
      <x:c r="F11" s="18"/>
      <x:c r="G11" s="23"/>
      <x:c r="H11" s="23"/>
      <x:c r="I11" s="18"/>
      <x:c r="J11" s="18"/>
    </x:row>
    <x:row r="12" ht="70" customHeight="1">
      <x:c r="A12" s="22"/>
      <x:c r="B12" s="22"/>
      <x:c r="C12" s="23" t="str">
        <x:v>H4.1
+24VIN</x:v>
      </x:c>
      <x:c r="D12" s="23"/>
      <x:c r="E12" s="18" t="str">
        <x:v>24 V
故障/开路：掉电后触点断开
对接：LVMS/低压电源
备注：LM2596S-5.0 输入</x:v>
      </x:c>
      <x:c r="F12" s="18"/>
      <x:c r="G12" s="23"/>
      <x:c r="H12" s="23"/>
      <x:c r="I12" s="18"/>
      <x:c r="J12" s="18"/>
    </x:row>
    <x:row r="13" ht="58" customHeight="1">
      <x:c r="A13" s="22"/>
      <x:c r="B13" s="22"/>
      <x:c r="C13" s="23" t="str">
        <x:v>H4.2
GND</x:v>
      </x:c>
      <x:c r="D13" s="23"/>
      <x:c r="E13" s="18" t="str">
        <x:v>0 V
对接：低压地
备注：bspd.tel H4.2</x:v>
      </x:c>
      <x:c r="F13" s="18"/>
      <x:c r="G13" s="23"/>
      <x:c r="H13" s="23"/>
      <x:c r="I13" s="18"/>
      <x:c r="J13" s="18"/>
    </x:row>
    <x:row r="14" ht="85" customHeight="1">
      <x:c r="A14" s="32" t="str">
        <x:v>EBS</x:v>
      </x:c>
      <x:c r="B14" s="32"/>
      <x:c r="C14" s="33" t="str">
        <x:v>H1.1
VCU_WDI</x:v>
      </x:c>
      <x:c r="D14" s="33"/>
      <x:c r="E14" s="28" t="str">
        <x:v>0–5 V 推挽方波，10 Hz（VCU直接输出）
故障/开路：停止翻转或频率异常时 WDO# 变低
对接：VCU（5 V推挽输出）
备注：VCU_WDI直接进入5 V供电的UCC2946，无需12 V→5 V转换；仍须核对输入高/低门限与频率窗口</x:v>
      </x:c>
      <x:c r="F14" s="28"/>
      <x:c r="G14" s="33" t="str">
        <x:v>H1.3
EBS_CHECK</x:v>
      </x:c>
      <x:c r="H14" s="33"/>
      <x:c r="I14" s="28" t="str">
        <x:v>0/12 V状态信号
故障/开路：故障状态极性需台架确认
对接：VCU（12 V接口）
备注：D6=BZT52C12；按VCU 12 V输入门限校核高低电平</x:v>
      </x:c>
      <x:c r="J14" s="28"/>
    </x:row>
    <x:row r="15" ht="85" customHeight="1">
      <x:c r="A15" s="32"/>
      <x:c r="B15" s="32"/>
      <x:c r="C15" s="33" t="str">
        <x:v>H1.2
EBS_TRIG</x:v>
      </x:c>
      <x:c r="D15" s="33"/>
      <x:c r="E15" s="28" t="str">
        <x:v>12 V高有效触发
故障/开路：高电平撤销RLY1驱动并制动
对接：VCU（12 V接口）
备注：当前U4为5 V供电LVC器件，需增加或确认12 V→5 V输入调理</x:v>
      </x:c>
      <x:c r="F15" s="28"/>
      <x:c r="G15" s="33" t="str">
        <x:v>H2.2
EBS_WORK</x:v>
      </x:c>
      <x:c r="H15" s="33"/>
      <x:c r="I15" s="28" t="str">
        <x:v>正常约 24 V
故障/开路：触发/看门狗/掉电时 0 V
对接：EBS 电磁阀/驱动器
备注：继电器触点输出</x:v>
      </x:c>
      <x:c r="J15" s="28"/>
    </x:row>
    <x:row r="16" ht="85" customHeight="1">
      <x:c r="A16" s="32"/>
      <x:c r="B16" s="32"/>
      <x:c r="C16" s="33" t="str">
        <x:v>H2.1
SDC_IN</x:v>
      </x:c>
      <x:c r="D16" s="33"/>
      <x:c r="E16" s="28" t="str">
        <x:v>安全回路电压；名义 24 V
故障/开路：掉电使 RLY2 释放
对接：安全回路
备注：直接驱动 24 V RLY2 线圈</x:v>
      </x:c>
      <x:c r="F16" s="28"/>
      <x:c r="G16" s="33" t="str">
        <x:v>H2.3
AS_LOCK</x:v>
      </x:c>
      <x:c r="H16" s="33"/>
      <x:c r="I16" s="28" t="str">
        <x:v>由 EBS_WORK 经 22 kΩ/4.7 kΩ 分压；24 V 时约 4.23 V
故障/开路：EBS_WORK=0 时约 0 V
对接：错误锁存板
备注：不是固定 5 V</x:v>
      </x:c>
      <x:c r="J16" s="28"/>
    </x:row>
    <x:row r="17" ht="85" customHeight="1">
      <x:c r="A17" s="32"/>
      <x:c r="B17" s="32"/>
      <x:c r="C17" s="33" t="str">
        <x:v>H3.1
EBS_PWR</x:v>
      </x:c>
      <x:c r="D17" s="33"/>
      <x:c r="E17" s="28" t="str">
        <x:v>24 V
故障/开路：掉电直接制动
对接：RES/ASMS 后供电
备注：当前 BOM 使用 24 V 继电器</x:v>
      </x:c>
      <x:c r="F17" s="28"/>
      <x:c r="G17" s="33" t="str">
        <x:v>H2.4
VCU_FB</x:v>
      </x:c>
      <x:c r="H17" s="33"/>
      <x:c r="I17" s="28" t="str">
        <x:v>0/12 V继电器状态反馈
故障/开路：故障状态极性需台架确认
对接：VCU（12 V接口）
备注：本反馈按12 V接口校核，勿套用到5 V的VCU_WDI；确认当前分压在全部触点组合下满足12 V逻辑门限</x:v>
      </x:c>
      <x:c r="J17" s="28"/>
    </x:row>
    <x:row r="18" ht="58" customHeight="1">
      <x:c r="A18" s="32"/>
      <x:c r="B18" s="32"/>
      <x:c r="C18" s="33" t="str">
        <x:v>H3.2
GND</x:v>
      </x:c>
      <x:c r="D18" s="33"/>
      <x:c r="E18" s="28" t="str">
        <x:v>0 V
对接：低压地
备注：ebs.tel H3.2</x:v>
      </x:c>
      <x:c r="F18" s="28"/>
      <x:c r="G18" s="33"/>
      <x:c r="H18" s="33"/>
      <x:c r="I18" s="28"/>
      <x:c r="J18" s="28"/>
    </x:row>
    <x:row r="19" ht="70" customHeight="1">
      <x:c r="A19" s="22" t="str">
        <x:v>错误锁存</x:v>
      </x:c>
      <x:c r="B19" s="22"/>
      <x:c r="C19" s="23" t="str">
        <x:v>H1.1
IMD_ERROR</x:v>
      </x:c>
      <x:c r="D19" s="23"/>
      <x:c r="E19" s="18" t="str">
        <x:v>原理图标注正常 12 V、错误约 9 V
故障/开路：故障被锁存并断开安全回路
对接：IMD
备注：LM393 比较；阈值需实测</x:v>
      </x:c>
      <x:c r="F19" s="18"/>
      <x:c r="G19" s="23" t="str">
        <x:v>H4.2
SCOUT</x:v>
      </x:c>
      <x:c r="H19" s="23"/>
      <x:c r="I19" s="18" t="str">
        <x:v>安全回路输出
故障/开路：故障/掉电断开
对接：安全回路下游
备注：需复核 3 A 铜宽和触点额定</x:v>
      </x:c>
      <x:c r="J19" s="18"/>
    </x:row>
    <x:row r="20" ht="70" customHeight="1">
      <x:c r="A20" s="22"/>
      <x:c r="B20" s="22"/>
      <x:c r="C20" s="23" t="str">
        <x:v>H1.2
BMS_ERROR</x:v>
      </x:c>
      <x:c r="D20" s="23"/>
      <x:c r="E20" s="18" t="str">
        <x:v>原理图标注正常 12 V、错误约 10 V
故障/开路：故障被锁存并断开安全回路
对接：BMS
备注：LM393 比较；旧表的 0 V 故障不适用</x:v>
      </x:c>
      <x:c r="F20" s="18"/>
      <x:c r="G20" s="23" t="str">
        <x:v>H5.1
IMD_LED</x:v>
      </x:c>
      <x:c r="H20" s="23"/>
      <x:c r="I20" s="18" t="str">
        <x:v>5 V 侧指示驱动
故障/开路：状态极性需配合外部灯确认
对接：IMD 指示灯
备注：HL6042 开关输出；非干接点</x:v>
      </x:c>
      <x:c r="J20" s="18"/>
    </x:row>
    <x:row r="21" ht="70" customHeight="1">
      <x:c r="A21" s="22"/>
      <x:c r="B21" s="22"/>
      <x:c r="C21" s="23" t="str">
        <x:v>H2.1
EBS_ERROR</x:v>
      </x:c>
      <x:c r="D21" s="23"/>
      <x:c r="E21" s="18" t="str">
        <x:v>正常约 5 V、故障 0 V
故障/开路：低有效故障锁存
对接：EBS/AS_LOCK
备注：lock.png 标注故障 0</x:v>
      </x:c>
      <x:c r="F21" s="18"/>
      <x:c r="G21" s="23" t="str">
        <x:v>H5.2
BMS_LED</x:v>
      </x:c>
      <x:c r="H21" s="23"/>
      <x:c r="I21" s="18" t="str">
        <x:v>5 V 侧指示驱动
故障/开路：同上
对接：BMS 指示灯
备注：HL6042 开关输出</x:v>
      </x:c>
      <x:c r="J21" s="18"/>
    </x:row>
    <x:row r="22" ht="70" customHeight="1">
      <x:c r="A22" s="22"/>
      <x:c r="B22" s="22"/>
      <x:c r="C22" s="23" t="str">
        <x:v>H2.2
RES_ERROR</x:v>
      </x:c>
      <x:c r="D22" s="23"/>
      <x:c r="E22" s="18" t="str">
        <x:v>正常约 5 V、故障 0 V
故障/开路：低有效故障锁存
对接：RES
备注：与 EBS 共用 R_E_STATE 锁存</x:v>
      </x:c>
      <x:c r="F22" s="18"/>
      <x:c r="G22" s="23" t="str">
        <x:v>H5.3
R_E_LED</x:v>
      </x:c>
      <x:c r="H22" s="23"/>
      <x:c r="I22" s="18" t="str">
        <x:v>5 V 侧指示驱动
故障/开路：同上
对接：EBS/RES 指示灯
备注：HL6042 开关输出</x:v>
      </x:c>
      <x:c r="J22" s="18"/>
    </x:row>
    <x:row r="23" ht="85" customHeight="1">
      <x:c r="A23" s="22"/>
      <x:c r="B23" s="22"/>
      <x:c r="C23" s="23" t="str">
        <x:v>H3.1
IMD_RESET</x:v>
      </x:c>
      <x:c r="D23" s="23"/>
      <x:c r="E23" s="18" t="str">
        <x:v>VCU 12 V控制域；板端低有效、5 V上拉
故障/开路：故障仍存在时不得成功复位
对接：VCU（12 V接口）/复位开关
备注：需用开漏、光耦或电平转换下拉；禁止把12 V直接送入板端5 V节点</x:v>
      </x:c>
      <x:c r="F23" s="18"/>
      <x:c r="G23" s="23"/>
      <x:c r="H23" s="23"/>
      <x:c r="I23" s="18"/>
      <x:c r="J23" s="18"/>
    </x:row>
    <x:row r="24" ht="85" customHeight="1">
      <x:c r="A24" s="22"/>
      <x:c r="B24" s="22"/>
      <x:c r="C24" s="23" t="str">
        <x:v>H3.2
BMS_RESET</x:v>
      </x:c>
      <x:c r="D24" s="23"/>
      <x:c r="E24" s="18" t="str">
        <x:v>VCU 12 V控制域；板端低有效、5 V上拉
故障/开路：故障仍存在时不得成功复位
对接：VCU（12 V接口）/复位开关
备注：需用开漏、光耦或电平转换下拉；禁止把12 V直接送入板端5 V节点</x:v>
      </x:c>
      <x:c r="F24" s="18"/>
      <x:c r="G24" s="23"/>
      <x:c r="H24" s="23"/>
      <x:c r="I24" s="18"/>
      <x:c r="J24" s="18"/>
    </x:row>
    <x:row r="25" ht="85" customHeight="1">
      <x:c r="A25" s="22"/>
      <x:c r="B25" s="22"/>
      <x:c r="C25" s="23" t="str">
        <x:v>H3.3
R_E_RESET</x:v>
      </x:c>
      <x:c r="D25" s="23"/>
      <x:c r="E25" s="18" t="str">
        <x:v>VCU 12 V控制域；板端低有效、5 V上拉
故障/开路：只复位EBS/RES组合通道
对接：VCU（12 V接口）/复位开关
备注：需用开漏、光耦或电平转换下拉；禁止把12 V直接送入板端5 V节点</x:v>
      </x:c>
      <x:c r="F25" s="18"/>
      <x:c r="G25" s="23"/>
      <x:c r="H25" s="23"/>
      <x:c r="I25" s="18"/>
      <x:c r="J25" s="18"/>
    </x:row>
    <x:row r="26" ht="70" customHeight="1">
      <x:c r="A26" s="22"/>
      <x:c r="B26" s="22"/>
      <x:c r="C26" s="23" t="str">
        <x:v>H4.1
SCIN</x:v>
      </x:c>
      <x:c r="D26" s="23"/>
      <x:c r="E26" s="18" t="str">
        <x:v>安全回路输入
故障/开路：故障/掉电时与 SCOUT 断开
对接：安全回路上游
备注：SRD-05VDC 常开触点</x:v>
      </x:c>
      <x:c r="F26" s="18"/>
      <x:c r="G26" s="23"/>
      <x:c r="H26" s="23"/>
      <x:c r="I26" s="18"/>
      <x:c r="J26" s="18"/>
    </x:row>
    <x:row r="27" ht="70" customHeight="1">
      <x:c r="A27" s="22"/>
      <x:c r="B27" s="22"/>
      <x:c r="C27" s="23" t="str">
        <x:v>H6.1
12V</x:v>
      </x:c>
      <x:c r="D27" s="23"/>
      <x:c r="E27" s="18" t="str">
        <x:v>12 V
故障/开路：掉电后安全回路断开
对接：低压电源
备注：保险丝+TVS+LM340MP-5.0</x:v>
      </x:c>
      <x:c r="F27" s="18"/>
      <x:c r="G27" s="23"/>
      <x:c r="H27" s="23"/>
      <x:c r="I27" s="18"/>
      <x:c r="J27" s="18"/>
    </x:row>
    <x:row r="28" ht="58" customHeight="1">
      <x:c r="A28" s="22"/>
      <x:c r="B28" s="22"/>
      <x:c r="C28" s="23" t="str">
        <x:v>H6.2
GND</x:v>
      </x:c>
      <x:c r="D28" s="23"/>
      <x:c r="E28" s="18" t="str">
        <x:v>0 V
对接：低压地
备注：lock.tel H6.2</x:v>
      </x:c>
      <x:c r="F28" s="18"/>
      <x:c r="G28" s="23"/>
      <x:c r="H28" s="23"/>
      <x:c r="I28" s="18"/>
      <x:c r="J28" s="18"/>
    </x:row>
    <x:row r="29" ht="70" customHeight="1">
      <x:c r="A29" s="32" t="str">
        <x:v>继电器检测</x:v>
      </x:c>
      <x:c r="B29" s="32"/>
      <x:c r="C29" s="33" t="str">
        <x:v>U11.1
GND</x:v>
      </x:c>
      <x:c r="D29" s="33"/>
      <x:c r="E29" s="28" t="str">
        <x:v>0 V
对接：低压地
备注：GH1.25-8P</x:v>
      </x:c>
      <x:c r="F29" s="28"/>
      <x:c r="G29" s="33" t="str">
        <x:v>CN1.1
PRE_ACTUAL</x:v>
      </x:c>
      <x:c r="H29" s="33"/>
      <x:c r="I29" s="28" t="str">
        <x:v>PRE_2 的 5 V 同相输出
故障/开路：开路默认 0 V
对接：TSAL
备注：与 PRE# 互补</x:v>
      </x:c>
      <x:c r="J29" s="28"/>
    </x:row>
    <x:row r="30" ht="70" customHeight="1">
      <x:c r="A30" s="32"/>
      <x:c r="B30" s="32"/>
      <x:c r="C30" s="33" t="str">
        <x:v>U11.2
12V</x:v>
      </x:c>
      <x:c r="D30" s="33"/>
      <x:c r="E30" s="28" t="str">
        <x:v>12 V
故障/开路：掉电后所有输出无效
对接：低压电源
备注：LM340MP-5.0</x:v>
      </x:c>
      <x:c r="F30" s="28"/>
      <x:c r="G30" s="33" t="str">
        <x:v>CN1.2
MAINN_ACTUAL</x:v>
      </x:c>
      <x:c r="H30" s="33"/>
      <x:c r="I30" s="28" t="str">
        <x:v>MAINN_2 的 5 V 同相输出
故障/开路：开路默认 0 V
对接：TSAL
备注：与 MAINN# 互补</x:v>
      </x:c>
      <x:c r="J30" s="28"/>
    </x:row>
    <x:row r="31" ht="88" customHeight="1">
      <x:c r="A31" s="32"/>
      <x:c r="B31" s="32"/>
      <x:c r="C31" s="33" t="str">
        <x:v>U11.3
PRE_2</x:v>
      </x:c>
      <x:c r="D31" s="33"/>
      <x:c r="E31" s="28" t="str">
        <x:v>辅助触点端 2；经 100 kΩ/100 nF 滤波进入逻辑
与 PRE_1 分别连接同一预充辅助触点的两端
触点断开时默认低；闭合时由 PRE_1 拉高
禁止接继电器线圈端或外部有源电压</x:v>
      </x:c>
      <x:c r="F31" s="28"/>
      <x:c r="G31" s="33" t="str">
        <x:v>CN1.3
MAINP_ACTUAL</x:v>
      </x:c>
      <x:c r="H31" s="33"/>
      <x:c r="I31" s="28" t="str">
        <x:v>MAINP_2 的 5 V 同相输出
故障/开路：开路默认 0 V
对接：TSAL
备注：与 MAINP# 互补</x:v>
      </x:c>
      <x:c r="J31" s="28"/>
    </x:row>
    <x:row r="32" ht="88" customHeight="1">
      <x:c r="A32" s="32"/>
      <x:c r="B32" s="32"/>
      <x:c r="C32" s="33" t="str">
        <x:v>U11.4
PRE_1</x:v>
      </x:c>
      <x:c r="D32" s="33"/>
      <x:c r="E32" s="28" t="str">
        <x:v>辅助触点端 1；板内 4.7 kΩ 上拉至 5 V
与 PRE_2 分别连接同一预充辅助触点的两端
触点闭合时向 PRE_2 提供高电平
禁止接继电器线圈端或外部有源电压</x:v>
      </x:c>
      <x:c r="F32" s="28"/>
      <x:c r="G32" s="33" t="str">
        <x:v>CN1.4
PRE#</x:v>
      </x:c>
      <x:c r="H32" s="33"/>
      <x:c r="I32" s="28" t="str">
        <x:v>PRE_2 的 5 V 反相输出
故障/开路：开路默认 5 V
对接：TSAL
备注：不是控制输入</x:v>
      </x:c>
      <x:c r="J32" s="28"/>
    </x:row>
    <x:row r="33" ht="88" customHeight="1">
      <x:c r="A33" s="32"/>
      <x:c r="B33" s="32"/>
      <x:c r="C33" s="33" t="str">
        <x:v>U11.5
MAINN_2</x:v>
      </x:c>
      <x:c r="D33" s="33"/>
      <x:c r="E33" s="28" t="str">
        <x:v>辅助触点端 2；经 100 kΩ/100 nF 滤波进入逻辑
与 MAINN_1 分别连接同一主负辅助触点的两端
触点断开时默认低；闭合时由 MAINN_1 拉高
禁止接继电器线圈端或外部有源电压</x:v>
      </x:c>
      <x:c r="F33" s="28"/>
      <x:c r="G33" s="33" t="str">
        <x:v>CN1.5
MAINN#</x:v>
      </x:c>
      <x:c r="H33" s="33"/>
      <x:c r="I33" s="28" t="str">
        <x:v>MAINN_2 的 5 V 反相输出
故障/开路：开路默认 5 V
对接：TSAL
备注：不是控制输入</x:v>
      </x:c>
      <x:c r="J33" s="28"/>
    </x:row>
    <x:row r="34" ht="88" customHeight="1">
      <x:c r="A34" s="32"/>
      <x:c r="B34" s="32"/>
      <x:c r="C34" s="33" t="str">
        <x:v>U11.6
MAINN_1</x:v>
      </x:c>
      <x:c r="D34" s="33"/>
      <x:c r="E34" s="28" t="str">
        <x:v>辅助触点端 1；板内 4.7 kΩ 上拉至 5 V
与 MAINN_2 分别连接同一主负辅助触点的两端
触点闭合时向 MAINN_2 提供高电平
禁止接继电器线圈端或外部有源电压</x:v>
      </x:c>
      <x:c r="F34" s="28"/>
      <x:c r="G34" s="33" t="str">
        <x:v>CN1.6
MAINP#</x:v>
      </x:c>
      <x:c r="H34" s="33"/>
      <x:c r="I34" s="28" t="str">
        <x:v>MAINP_2 的 5 V 反相输出
故障/开路：开路默认 5 V
对接：TSAL
备注：不是控制输入</x:v>
      </x:c>
      <x:c r="J34" s="28"/>
    </x:row>
    <x:row r="35" ht="88" customHeight="1">
      <x:c r="A35" s="32"/>
      <x:c r="B35" s="32"/>
      <x:c r="C35" s="33" t="str">
        <x:v>U11.7
MAINP_2</x:v>
      </x:c>
      <x:c r="D35" s="33"/>
      <x:c r="E35" s="28" t="str">
        <x:v>辅助触点端 2；经 100 kΩ/100 nF 滤波进入逻辑
与 MAINP_1 分别连接同一主正辅助触点的两端
触点断开时默认低；闭合时由 MAINP_1 拉高
禁止接继电器线圈端或外部有源电压</x:v>
      </x:c>
      <x:c r="F35" s="28"/>
      <x:c r="G35" s="33"/>
      <x:c r="H35" s="33"/>
      <x:c r="I35" s="28"/>
      <x:c r="J35" s="28"/>
    </x:row>
    <x:row r="36" ht="88" customHeight="1">
      <x:c r="A36" s="32"/>
      <x:c r="B36" s="32"/>
      <x:c r="C36" s="33" t="str">
        <x:v>U11.8
MAINP_1</x:v>
      </x:c>
      <x:c r="D36" s="33"/>
      <x:c r="E36" s="28" t="str">
        <x:v>辅助触点端 1；板内 4.7 kΩ 上拉至 5 V
与 MAINP_2 分别连接同一主正辅助触点的两端
触点闭合时向 MAINP_2 提供高电平
禁止接继电器线圈端或外部有源电压</x:v>
      </x:c>
      <x:c r="F36" s="28"/>
      <x:c r="G36" s="33"/>
      <x:c r="H36" s="33"/>
      <x:c r="I36" s="28"/>
      <x:c r="J36" s="28"/>
    </x:row>
    <x:row r="37" ht="70" customHeight="1">
      <x:c r="A37" s="22" t="str">
        <x:v>TSAL</x:v>
      </x:c>
      <x:c r="B37" s="22"/>
      <x:c r="C37" s="23" t="str">
        <x:v>H1.1
NC</x:v>
      </x:c>
      <x:c r="D37" s="23"/>
      <x:c r="E37" s="18" t="str">
        <x:v>未连接
对接：线束保留
备注：当前网表无连接</x:v>
      </x:c>
      <x:c r="F37" s="18"/>
      <x:c r="G37" s="23" t="str">
        <x:v>H4.1
GREEN_OUT_K</x:v>
      </x:c>
      <x:c r="H37" s="23"/>
      <x:c r="I37" s="18" t="str">
        <x:v>满足绿灯条件时拉地
故障/开路：失电时高阻
对接：绿灯阴极
备注：外部灯需单独供电限流</x:v>
      </x:c>
      <x:c r="J37" s="18"/>
    </x:row>
    <x:row r="38" ht="70" customHeight="1">
      <x:c r="A38" s="22"/>
      <x:c r="B38" s="22"/>
      <x:c r="C38" s="23" t="str">
        <x:v>H1.2
V_CONTROLLER</x:v>
      </x:c>
      <x:c r="D38" s="23"/>
      <x:c r="E38" s="18" t="str">
        <x:v>低压模拟量；比较参考约 0.743 V
故障/开路：需由外部分压/隔离映射 60 V
对接：控制器侧电压采样
备注：禁止直接接牵引高压</x:v>
      </x:c>
      <x:c r="F38" s="18"/>
      <x:c r="G38" s="23" t="str">
        <x:v>H4.2
RED_OUT_K</x:v>
      </x:c>
      <x:c r="H38" s="23"/>
      <x:c r="I38" s="18" t="str">
        <x:v>满足红灯条件时拉地/闪烁
故障/开路：失电时高阻
对接：红灯阴极
备注：AO3480C 低边开关</x:v>
      </x:c>
      <x:c r="J38" s="18"/>
    </x:row>
    <x:row r="39" ht="58" customHeight="1">
      <x:c r="A39" s="22"/>
      <x:c r="B39" s="22"/>
      <x:c r="C39" s="23" t="str">
        <x:v>H2.1
NC</x:v>
      </x:c>
      <x:c r="D39" s="23"/>
      <x:c r="E39" s="18" t="str">
        <x:v>未连接
对接：线束保留
备注：当前网表无连接</x:v>
      </x:c>
      <x:c r="F39" s="18"/>
      <x:c r="G39" s="23"/>
      <x:c r="H39" s="23"/>
      <x:c r="I39" s="18"/>
      <x:c r="J39" s="18"/>
    </x:row>
    <x:row r="40" ht="70" customHeight="1">
      <x:c r="A40" s="22"/>
      <x:c r="B40" s="22"/>
      <x:c r="C40" s="23" t="str">
        <x:v>H2.2
V_BATTERY</x:v>
      </x:c>
      <x:c r="D40" s="23"/>
      <x:c r="E40" s="18" t="str">
        <x:v>低压模拟量；比较参考约 0.300 V
故障/开路：需由外部分压/隔离映射 60 V
对接：电池侧电压采样
备注：禁止直接接牵引高压</x:v>
      </x:c>
      <x:c r="F40" s="18"/>
      <x:c r="G40" s="23"/>
      <x:c r="H40" s="23"/>
      <x:c r="I40" s="18"/>
      <x:c r="J40" s="18"/>
    </x:row>
    <x:row r="41" ht="58" customHeight="1">
      <x:c r="A41" s="22"/>
      <x:c r="B41" s="22"/>
      <x:c r="C41" s="23" t="str">
        <x:v>H3.1
GND</x:v>
      </x:c>
      <x:c r="D41" s="23"/>
      <x:c r="E41" s="18" t="str">
        <x:v>0 V
对接：低压地
备注：红/绿电源共地</x:v>
      </x:c>
      <x:c r="F41" s="18"/>
      <x:c r="G41" s="23"/>
      <x:c r="H41" s="23"/>
      <x:c r="I41" s="18"/>
      <x:c r="J41" s="18"/>
    </x:row>
    <x:row r="42" ht="70" customHeight="1">
      <x:c r="A42" s="22"/>
      <x:c r="B42" s="22"/>
      <x:c r="C42" s="23" t="str">
        <x:v>H3.2
12V</x:v>
      </x:c>
      <x:c r="D42" s="23"/>
      <x:c r="E42" s="18" t="str">
        <x:v>12 V
故障/开路：掉电后灯输出关闭/无效
对接：低压电源
备注：红绿两路 LM340 的共同输入</x:v>
      </x:c>
      <x:c r="F42" s="18"/>
      <x:c r="G42" s="23"/>
      <x:c r="H42" s="23"/>
      <x:c r="I42" s="18"/>
      <x:c r="J42" s="18"/>
    </x:row>
    <x:row r="43" ht="70" customHeight="1">
      <x:c r="A43" s="22"/>
      <x:c r="B43" s="22"/>
      <x:c r="C43" s="23" t="str">
        <x:v>H5.1
MAINP#</x:v>
      </x:c>
      <x:c r="D43" s="23"/>
      <x:c r="E43" s="18" t="str">
        <x:v>5 V 反相信号
故障/开路：应与 MAINP_ACTUAL 互补
对接：继电器检测板 CN1.6
备注：互补失配应判故障</x:v>
      </x:c>
      <x:c r="F43" s="18"/>
      <x:c r="G43" s="23"/>
      <x:c r="H43" s="23"/>
      <x:c r="I43" s="18"/>
      <x:c r="J43" s="18"/>
    </x:row>
    <x:row r="44" ht="70" customHeight="1">
      <x:c r="A44" s="22"/>
      <x:c r="B44" s="22"/>
      <x:c r="C44" s="23" t="str">
        <x:v>H5.2
MAINP_ACTUAL</x:v>
      </x:c>
      <x:c r="D44" s="23"/>
      <x:c r="E44" s="18" t="str">
        <x:v>5 V 同相信号
故障/开路：同上
对接：继电器检测板 CN1.3
备注：—</x:v>
      </x:c>
      <x:c r="F44" s="18"/>
      <x:c r="G44" s="23"/>
      <x:c r="H44" s="23"/>
      <x:c r="I44" s="18"/>
      <x:c r="J44" s="18"/>
    </x:row>
    <x:row r="45" ht="70" customHeight="1">
      <x:c r="A45" s="22"/>
      <x:c r="B45" s="22"/>
      <x:c r="C45" s="23" t="str">
        <x:v>H6.1
MAINN_ACTUAL</x:v>
      </x:c>
      <x:c r="D45" s="23"/>
      <x:c r="E45" s="18" t="str">
        <x:v>5 V 同相信号
故障/开路：应与 MAINN# 互补
对接：继电器检测板 CN1.2
备注：—</x:v>
      </x:c>
      <x:c r="F45" s="18"/>
      <x:c r="G45" s="23"/>
      <x:c r="H45" s="23"/>
      <x:c r="I45" s="18"/>
      <x:c r="J45" s="18"/>
    </x:row>
    <x:row r="46" ht="70" customHeight="1">
      <x:c r="A46" s="22"/>
      <x:c r="B46" s="22"/>
      <x:c r="C46" s="23" t="str">
        <x:v>H6.2
MAINN#</x:v>
      </x:c>
      <x:c r="D46" s="23"/>
      <x:c r="E46" s="18" t="str">
        <x:v>5 V 反相信号
故障/开路：同上
对接：继电器检测板 CN1.5
备注：—</x:v>
      </x:c>
      <x:c r="F46" s="18"/>
      <x:c r="G46" s="23"/>
      <x:c r="H46" s="23"/>
      <x:c r="I46" s="18"/>
      <x:c r="J46" s="18"/>
    </x:row>
    <x:row r="47" ht="70" customHeight="1">
      <x:c r="A47" s="22"/>
      <x:c r="B47" s="22"/>
      <x:c r="C47" s="23" t="str">
        <x:v>H7.1
PRE#</x:v>
      </x:c>
      <x:c r="D47" s="23"/>
      <x:c r="E47" s="18" t="str">
        <x:v>5 V 反相信号
故障/开路：应与 PRE_ACTUAL 互补
对接：继电器检测板 CN1.4
备注：—</x:v>
      </x:c>
      <x:c r="F47" s="18"/>
      <x:c r="G47" s="23"/>
      <x:c r="H47" s="23"/>
      <x:c r="I47" s="18"/>
      <x:c r="J47" s="18"/>
    </x:row>
    <x:row r="48" ht="70" customHeight="1">
      <x:c r="A48" s="22"/>
      <x:c r="B48" s="22"/>
      <x:c r="C48" s="23" t="str">
        <x:v>H7.2
PRE_ACTUAL</x:v>
      </x:c>
      <x:c r="D48" s="23"/>
      <x:c r="E48" s="18" t="str">
        <x:v>5 V 同相信号
故障/开路：同上
对接：继电器检测板 CN1.1
备注：—</x:v>
      </x:c>
      <x:c r="F48" s="18"/>
      <x:c r="G48" s="23"/>
      <x:c r="H48" s="23"/>
      <x:c r="I48" s="18"/>
      <x:c r="J48" s="18"/>
    </x:row>
  </x:sheetData>
  <x:mergeCells>
    <x:mergeCell ref="A1:J1"/>
    <x:mergeCell ref="A2:J2"/>
    <x:mergeCell ref="A4:B4"/>
    <x:mergeCell ref="C4:D4"/>
    <x:mergeCell ref="E4:F4"/>
    <x:mergeCell ref="G4:H4"/>
    <x:mergeCell ref="I4:J4"/>
    <x:mergeCell ref="A5:B13"/>
    <x:mergeCell ref="C5:D5"/>
    <x:mergeCell ref="E5:F5"/>
    <x:mergeCell ref="G5:H5"/>
    <x:mergeCell ref="I5:J5"/>
    <x:mergeCell ref="C6:D6"/>
    <x:mergeCell ref="E6:F6"/>
    <x:mergeCell ref="G6:H6"/>
    <x:mergeCell ref="I6:J6"/>
    <x:mergeCell ref="C7:D7"/>
    <x:mergeCell ref="E7:F7"/>
    <x:mergeCell ref="G7:H7"/>
    <x:mergeCell ref="I7:J7"/>
    <x:mergeCell ref="C8:D8"/>
    <x:mergeCell ref="E8:F8"/>
    <x:mergeCell ref="G8:H8"/>
    <x:mergeCell ref="I8:J8"/>
    <x:mergeCell ref="C9:D9"/>
    <x:mergeCell ref="E9:F9"/>
    <x:mergeCell ref="G9:H9"/>
    <x:mergeCell ref="I9:J9"/>
    <x:mergeCell ref="C10:D10"/>
    <x:mergeCell ref="E10:F10"/>
    <x:mergeCell ref="G10:H10"/>
    <x:mergeCell ref="I10:J10"/>
    <x:mergeCell ref="C11:D11"/>
    <x:mergeCell ref="E11:F11"/>
    <x:mergeCell ref="G11:H11"/>
    <x:mergeCell ref="I11:J11"/>
    <x:mergeCell ref="C12:D12"/>
    <x:mergeCell ref="E12:F12"/>
    <x:mergeCell ref="G12:H12"/>
    <x:mergeCell ref="I12:J12"/>
    <x:mergeCell ref="C13:D13"/>
    <x:mergeCell ref="E13:F13"/>
    <x:mergeCell ref="G13:H13"/>
    <x:mergeCell ref="I13:J13"/>
    <x:mergeCell ref="A14:B18"/>
    <x:mergeCell ref="C14:D14"/>
    <x:mergeCell ref="E14:F14"/>
    <x:mergeCell ref="G14:H14"/>
    <x:mergeCell ref="I14:J14"/>
    <x:mergeCell ref="C15:D15"/>
    <x:mergeCell ref="E15:F15"/>
    <x:mergeCell ref="G15:H15"/>
    <x:mergeCell ref="I15:J15"/>
    <x:mergeCell ref="C16:D16"/>
    <x:mergeCell ref="E16:F16"/>
    <x:mergeCell ref="G16:H16"/>
    <x:mergeCell ref="I16:J16"/>
    <x:mergeCell ref="C17:D17"/>
    <x:mergeCell ref="E17:F17"/>
    <x:mergeCell ref="G17:H17"/>
    <x:mergeCell ref="I17:J17"/>
    <x:mergeCell ref="C18:D18"/>
    <x:mergeCell ref="E18:F18"/>
    <x:mergeCell ref="G18:H18"/>
    <x:mergeCell ref="I18:J18"/>
    <x:mergeCell ref="A19:B28"/>
    <x:mergeCell ref="C19:D19"/>
    <x:mergeCell ref="E19:F19"/>
    <x:mergeCell ref="G19:H19"/>
    <x:mergeCell ref="I19:J19"/>
    <x:mergeCell ref="C20:D20"/>
    <x:mergeCell ref="E20:F20"/>
    <x:mergeCell ref="G20:H20"/>
    <x:mergeCell ref="I20:J20"/>
    <x:mergeCell ref="C21:D21"/>
    <x:mergeCell ref="E21:F21"/>
    <x:mergeCell ref="G21:H21"/>
    <x:mergeCell ref="I21:J21"/>
    <x:mergeCell ref="C22:D22"/>
    <x:mergeCell ref="E22:F22"/>
    <x:mergeCell ref="G22:H22"/>
    <x:mergeCell ref="I22:J22"/>
    <x:mergeCell ref="C23:D23"/>
    <x:mergeCell ref="E23:F23"/>
    <x:mergeCell ref="G23:H23"/>
    <x:mergeCell ref="I23:J23"/>
    <x:mergeCell ref="C24:D24"/>
    <x:mergeCell ref="E24:F24"/>
    <x:mergeCell ref="G24:H24"/>
    <x:mergeCell ref="I24:J24"/>
    <x:mergeCell ref="C25:D25"/>
    <x:mergeCell ref="E25:F25"/>
    <x:mergeCell ref="G25:H25"/>
    <x:mergeCell ref="I25:J25"/>
    <x:mergeCell ref="C26:D26"/>
    <x:mergeCell ref="E26:F26"/>
    <x:mergeCell ref="G26:H26"/>
    <x:mergeCell ref="I26:J26"/>
    <x:mergeCell ref="C27:D27"/>
    <x:mergeCell ref="E27:F27"/>
    <x:mergeCell ref="G27:H27"/>
    <x:mergeCell ref="I27:J27"/>
    <x:mergeCell ref="C28:D28"/>
    <x:mergeCell ref="E28:F28"/>
    <x:mergeCell ref="G28:H28"/>
    <x:mergeCell ref="I28:J28"/>
    <x:mergeCell ref="A29:B36"/>
    <x:mergeCell ref="C29:D29"/>
    <x:mergeCell ref="E29:F29"/>
    <x:mergeCell ref="G29:H29"/>
    <x:mergeCell ref="I29:J29"/>
    <x:mergeCell ref="C30:D30"/>
    <x:mergeCell ref="E30:F30"/>
    <x:mergeCell ref="G30:H30"/>
    <x:mergeCell ref="I30:J30"/>
    <x:mergeCell ref="C31:D31"/>
    <x:mergeCell ref="E31:F31"/>
    <x:mergeCell ref="G31:H31"/>
    <x:mergeCell ref="I31:J31"/>
    <x:mergeCell ref="C32:D32"/>
    <x:mergeCell ref="E32:F32"/>
    <x:mergeCell ref="G32:H32"/>
    <x:mergeCell ref="I32:J32"/>
    <x:mergeCell ref="C33:D33"/>
    <x:mergeCell ref="E33:F33"/>
    <x:mergeCell ref="G33:H33"/>
    <x:mergeCell ref="I33:J33"/>
    <x:mergeCell ref="C34:D34"/>
    <x:mergeCell ref="E34:F34"/>
    <x:mergeCell ref="G34:H34"/>
    <x:mergeCell ref="I34:J34"/>
    <x:mergeCell ref="C35:D35"/>
    <x:mergeCell ref="E35:F35"/>
    <x:mergeCell ref="G35:H35"/>
    <x:mergeCell ref="I35:J35"/>
    <x:mergeCell ref="C36:D36"/>
    <x:mergeCell ref="E36:F36"/>
    <x:mergeCell ref="G36:H36"/>
    <x:mergeCell ref="I36:J36"/>
    <x:mergeCell ref="A37:B48"/>
    <x:mergeCell ref="C37:D37"/>
    <x:mergeCell ref="E37:F37"/>
    <x:mergeCell ref="G37:H37"/>
    <x:mergeCell ref="I37:J37"/>
    <x:mergeCell ref="C38:D38"/>
    <x:mergeCell ref="E38:F38"/>
    <x:mergeCell ref="G38:H38"/>
    <x:mergeCell ref="I38:J38"/>
    <x:mergeCell ref="C39:D39"/>
    <x:mergeCell ref="E39:F39"/>
    <x:mergeCell ref="G39:H39"/>
    <x:mergeCell ref="I39:J39"/>
    <x:mergeCell ref="C40:D40"/>
    <x:mergeCell ref="E40:F40"/>
    <x:mergeCell ref="G40:H40"/>
    <x:mergeCell ref="I40:J40"/>
    <x:mergeCell ref="C41:D41"/>
    <x:mergeCell ref="E41:F41"/>
    <x:mergeCell ref="G41:H41"/>
    <x:mergeCell ref="I41:J41"/>
    <x:mergeCell ref="C42:D42"/>
    <x:mergeCell ref="E42:F42"/>
    <x:mergeCell ref="G42:H42"/>
    <x:mergeCell ref="I42:J42"/>
    <x:mergeCell ref="C43:D43"/>
    <x:mergeCell ref="E43:F43"/>
    <x:mergeCell ref="G43:H43"/>
    <x:mergeCell ref="I43:J43"/>
    <x:mergeCell ref="C44:D44"/>
    <x:mergeCell ref="E44:F44"/>
    <x:mergeCell ref="G44:H44"/>
    <x:mergeCell ref="I44:J44"/>
    <x:mergeCell ref="C45:D45"/>
    <x:mergeCell ref="E45:F45"/>
    <x:mergeCell ref="G45:H45"/>
    <x:mergeCell ref="I45:J45"/>
    <x:mergeCell ref="C46:D46"/>
    <x:mergeCell ref="E46:F46"/>
    <x:mergeCell ref="G46:H46"/>
    <x:mergeCell ref="I46:J46"/>
    <x:mergeCell ref="C47:D47"/>
    <x:mergeCell ref="E47:F47"/>
    <x:mergeCell ref="G47:H47"/>
    <x:mergeCell ref="I47:J47"/>
    <x:mergeCell ref="C48:D48"/>
    <x:mergeCell ref="E48:F48"/>
    <x:mergeCell ref="G48:H48"/>
    <x:mergeCell ref="I48:J4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34" hidden="0" customWidth="1"/>
    <x:col min="4" max="4" width="50" hidden="0" customWidth="1"/>
    <x:col min="5" max="5" width="50" hidden="0" customWidth="1"/>
    <x:col min="6" max="6" width="16" hidden="0" customWidth="1"/>
  </x:cols>
  <x:sheetData>
    <x:row r="1" ht="34" customHeight="1">
      <x:c r="A1" s="35" t="str">
        <x:v>设计校核与待关闭事项</x:v>
      </x:c>
      <x:c r="B1" s="35"/>
      <x:c r="C1" s="35"/>
      <x:c r="D1" s="35"/>
      <x:c r="E1" s="35"/>
      <x:c r="F1" s="35"/>
    </x:row>
    <x:row r="2" ht="28" customHeight="1">
      <x:c r="A2" s="37" t="str">
        <x:v>按风险优先级跟踪；状态列可更新为：待设计确认、待系统确认、待台架确认、待文档同步、已校订、已澄清、已关闭。</x:v>
      </x:c>
      <x:c r="B2" s="37"/>
      <x:c r="C2" s="37"/>
      <x:c r="D2" s="37"/>
      <x:c r="E2" s="37"/>
      <x:c r="F2" s="37"/>
    </x:row>
    <x:row r="3" ht="8" customHeight="1">
      <x:c r="A3"/>
      <x:c r="B3"/>
      <x:c r="C3"/>
      <x:c r="D3"/>
      <x:c r="E3"/>
      <x:c r="F3"/>
    </x:row>
    <x:row r="4" ht="28" customHeight="1">
      <x:c r="A4" s="13" t="str">
        <x:v>优先级</x:v>
      </x:c>
      <x:c r="B4" s="13" t="str">
        <x:v>板卡</x:v>
      </x:c>
      <x:c r="C4" s="13" t="str">
        <x:v>发现</x:v>
      </x:c>
      <x:c r="D4" s="13" t="str">
        <x:v>电路依据</x:v>
      </x:c>
      <x:c r="E4" s="13" t="str">
        <x:v>要求动作</x:v>
      </x:c>
      <x:c r="F4" s="13" t="str">
        <x:v>状态</x:v>
      </x:c>
    </x:row>
    <x:row r="5" ht="48" customHeight="1">
      <x:c r="A5" s="42" t="str">
        <x:v>高</x:v>
      </x:c>
      <x:c r="B5" s="42" t="str">
        <x:v>EBS</x:v>
      </x:c>
      <x:c r="C5" s="42" t="str">
        <x:v>VCU_WDI为5 V推挽10 Hz方波；其余VCU接口按各自电平定义</x:v>
      </x:c>
      <x:c r="D5" s="42" t="str">
        <x:v>VCU_WDI由VCU直接推挽输出并直达5 V供电UCC2946；EBS_TRIG仍为12 V并须调理；VCU_FB/EBS_CHECK由继电器反馈网络产生</x:v>
      </x:c>
      <x:c r="E5" s="42" t="str">
        <x:v>验证VCU_WDI的0–5 V幅值、10 Hz频率和停止翻转故障动作；核对EBS_TRIG 12 V输入耐压与调理，并验证两路反馈的0/12 V门限、极性和源阻抗</x:v>
      </x:c>
      <x:c r="F5" s="42" t="str">
        <x:v>待台架确认</x:v>
      </x:c>
    </x:row>
    <x:row r="6" ht="48" customHeight="1">
      <x:c r="A6" s="43" t="str">
        <x:v>高</x:v>
      </x:c>
      <x:c r="B6" s="43" t="str">
        <x:v>TSAL</x:v>
      </x:c>
      <x:c r="C6" s="43" t="str">
        <x:v>60 V 到低压阈值的外部缩放未在本板定义</x:v>
      </x:c>
      <x:c r="D6" s="43" t="str">
        <x:v>板内参考为 0.300/0.743 V，H1/H2 仅信号级电阻</x:v>
      </x:c>
      <x:c r="E6" s="43" t="str">
        <x:v>冻结隔离/分压器件、比例、耐压和故障模式</x:v>
      </x:c>
      <x:c r="F6" s="43" t="str">
        <x:v>待系统确认</x:v>
      </x:c>
    </x:row>
    <x:row r="7" ht="62" customHeight="1">
      <x:c r="A7" s="42" t="str">
        <x:v>中</x:v>
      </x:c>
      <x:c r="B7" s="42" t="str">
        <x:v>继电器检测</x:v>
      </x:c>
      <x:c r="C7" s="42" t="str">
        <x:v>三路 _1、_2 分别连接同一辅助触点的两端</x:v>
      </x:c>
      <x:c r="D7" s="42" t="str">
        <x:v>*_1 由 4.7 kΩ 上拉；触点闭合后把 5 V 送到带 100 kΩ 下拉和 100 nF 滤波的 *_2</x:v>
      </x:c>
      <x:c r="E7" s="42" t="str">
        <x:v>线束按每只继电器一对无源辅助触点接线；禁止接线圈端或外部有源电压</x:v>
      </x:c>
      <x:c r="F7" s="42" t="str">
        <x:v>已澄清</x:v>
      </x:c>
    </x:row>
    <x:row r="8" ht="48" customHeight="1">
      <x:c r="A8" s="43" t="str">
        <x:v>高</x:v>
      </x:c>
      <x:c r="B8" s="43" t="str">
        <x:v>BSPD</x:v>
      </x:c>
      <x:c r="C8" s="43" t="str">
        <x:v>Q2 源漏方向可能反接</x:v>
      </x:c>
      <x:c r="D8" s="43" t="str">
        <x:v>网表 Q2.2 接定时节点、Q2.3 接 GND</x:v>
      </x:c>
      <x:c r="E8" s="43" t="str">
        <x:v>按 AO3400 封装核对并做含体二极管仿真/实测</x:v>
      </x:c>
      <x:c r="F8" s="43" t="str">
        <x:v>待设计确认</x:v>
      </x:c>
    </x:row>
    <x:row r="9" ht="76" customHeight="1">
      <x:c r="A9" s="42" t="str">
        <x:v>高</x:v>
      </x:c>
      <x:c r="B9" s="42" t="str">
        <x:v>BSPD</x:v>
      </x:c>
      <x:c r="C9" s="42" t="str">
        <x:v>油压、电流阈值分压均已修正</x:v>
      </x:c>
      <x:c r="D9" s="42" t="str">
        <x:v>R27/R28 = 5.62 kΩ/1 kΩ → 约 0.755 V；R25/R26 = 34.8 kΩ/10 kΩ → 约 1.116 V。相对各自精确目标的偏差约为 +0.7% 和 +0.45%</x:v>
      </x:c>
      <x:c r="E9" s="42" t="str">
        <x:v>使用 0~5 V 可调信号实测油压约 0.75 V、电流约 1.11 V 的比较器翻转点，并记录元件容差和比较器失调影响</x:v>
      </x:c>
      <x:c r="F9" s="42" t="str">
        <x:v>待台架确认</x:v>
      </x:c>
    </x:row>
    <x:row r="10" ht="48" customHeight="1">
      <x:c r="A10" s="43" t="str">
        <x:v>中</x:v>
      </x:c>
      <x:c r="B10" s="43" t="str">
        <x:v>EBS</x:v>
      </x:c>
      <x:c r="C10" s="43" t="str">
        <x:v>EBS_PWR 旧文档写 12 V</x:v>
      </x:c>
      <x:c r="D10" s="43" t="str">
        <x:v>原理图/BOM 为 LM2596 输入和 24 V 继电器</x:v>
      </x:c>
      <x:c r="E10" s="43" t="str">
        <x:v>已统一为 24 V，并核对整车线束供电</x:v>
      </x:c>
      <x:c r="F10" s="43" t="str">
        <x:v>已校订</x:v>
      </x:c>
    </x:row>
    <x:row r="11" ht="48" customHeight="1">
      <x:c r="A11" s="42" t="str">
        <x:v>中</x:v>
      </x:c>
      <x:c r="B11" s="42" t="str">
        <x:v>错误锁存</x:v>
      </x:c>
      <x:c r="C11" s="42" t="str">
        <x:v>IMD/BMS 故障电平旧表不准确</x:v>
      </x:c>
      <x:c r="D11" s="42" t="str">
        <x:v>原理图标注错误约 9 V/10 V，而非均为 0 V</x:v>
      </x:c>
      <x:c r="E11" s="42" t="str">
        <x:v>用真实设备容差扫描并冻结比较器窗口</x:v>
      </x:c>
      <x:c r="F11" s="42" t="str">
        <x:v>待台架确认</x:v>
      </x:c>
    </x:row>
    <x:row r="12" ht="48" customHeight="1">
      <x:c r="A12" s="43" t="str">
        <x:v>中</x:v>
      </x:c>
      <x:c r="B12" s="43" t="str">
        <x:v>TSAL</x:v>
      </x:c>
      <x:c r="C12" s="43" t="str">
        <x:v>H1.1、H2.1 为未连接针脚</x:v>
      </x:c>
      <x:c r="D12" s="43" t="str">
        <x:v>当前网表无网络</x:v>
      </x:c>
      <x:c r="E12" s="43" t="str">
        <x:v>在线束图、接插件图和装配文件标 NC</x:v>
      </x:c>
      <x:c r="F12" s="43" t="str">
        <x:v>待文档同步</x:v>
      </x:c>
    </x:row>
    <x:row r="13" ht="48" customHeight="1">
      <x:c r="A13" s="42" t="str">
        <x:v>中</x:v>
      </x:c>
      <x:c r="B13" s="42" t="str">
        <x:v>TSAL</x:v>
      </x:c>
      <x:c r="C13" s="42" t="str">
        <x:v>红绿两路电源仍有共同原因</x:v>
      </x:c>
      <x:c r="D13" s="42" t="str">
        <x:v>两路 LM340 共用 12 V、GND 和上游线束</x:v>
      </x:c>
      <x:c r="E13" s="42" t="str">
        <x:v>在 FMEA 中记录共同原因并验证掉电显示</x:v>
      </x:c>
      <x:c r="F13" s="42" t="str">
        <x:v>待系统确认</x:v>
      </x:c>
    </x:row>
    <x:row r="14" ht="48" customHeight="1">
      <x:c r="A14" s="43" t="str">
        <x:v>中</x:v>
      </x:c>
      <x:c r="B14" s="43" t="str">
        <x:v>继电器检测</x:v>
      </x:c>
      <x:c r="C14" s="43" t="str">
        <x:v>ACTUAL/# 不是独立传感器</x:v>
      </x:c>
      <x:c r="D14" s="43" t="str">
        <x:v>两者由同一 _2 输入的缓冲/反相生成</x:v>
      </x:c>
      <x:c r="E14" s="43" t="str">
        <x:v>仅用于编码一致性；冗余需独立物理检测</x:v>
      </x:c>
      <x:c r="F14" s="43" t="str">
        <x:v>已澄清</x:v>
      </x:c>
    </x:row>
    <x:row r="15" ht="48" customHeight="1">
      <x:c r="A15" s="42" t="str">
        <x:v>高</x:v>
      </x:c>
      <x:c r="B15" s="42" t="str">
        <x:v>错误锁存</x:v>
      </x:c>
      <x:c r="C15" s="42" t="str">
        <x:v>VCU复位属于12 V接口域，板端为5 V上拉节点</x:v>
      </x:c>
      <x:c r="D15" s="42" t="str">
        <x:v>IMD_RESET/BMS_RESET/R_E_RESET由10 kΩ上拉至板内5 V</x:v>
      </x:c>
      <x:c r="E15" s="42" t="str">
        <x:v>采用开漏、光耦或12 V→5 V电平转换；禁止12 V推挽直接驱动</x:v>
      </x:c>
      <x:c r="F15" s="42" t="str">
        <x:v>待设计确认</x:v>
      </x:c>
    </x:row>
  </x:sheetData>
  <x:mergeCells>
    <x:mergeCell ref="A1:F1"/>
    <x:mergeCell ref="A2:F2"/>
  </x:mergeCells>
  <x:dataValidations count="1">
    <x:dataValidation type="list" sqref="F5:F15">
      <x:formula1>"待设计确认,待系统确认,待台架确认,待文档同步,已校订,已澄清,已关闭"</x:formula1>
    </x:dataValidation>
  </x:dataValidations>
  <x:pageMargins left="0.7" right="0.7" top="0.75" bottom="0.75" header="0.3" footer="0.3"/>
</x:worksheet>
</file>