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85b516e09a4f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dfe5a00956084410"/>
    <x:sheet xmlns:r="http://schemas.openxmlformats.org/officeDocument/2006/relationships" name="外部接口CN7-CN12" sheetId="2" r:id="Re7799cd63ee94124"/>
    <x:sheet xmlns:r="http://schemas.openxmlformats.org/officeDocument/2006/relationships" name="板卡排针H1-H20" sheetId="3" r:id="Rb46cce233ce34683"/>
    <x:sheet xmlns:r="http://schemas.openxmlformats.org/officeDocument/2006/relationships" name="VCU_IO速查" sheetId="4" r:id="Rec99d2cf225240af"/>
    <x:sheet xmlns:r="http://schemas.openxmlformats.org/officeDocument/2006/relationships" name="待确认与测试" sheetId="5" r:id="R4489339206104276"/>
    <x:sheet xmlns:r="http://schemas.openxmlformats.org/officeDocument/2006/relationships" name="依据与器件手册" sheetId="6" r:id="Rd6694bb6d3aa45a5"/>
  </x:sheets>
</x:workbook>
</file>

<file path=xl/sharedStrings.xml><?xml version="1.0" encoding="utf-8"?>
<x:sst xmlns:x="http://schemas.openxmlformats.org/spreadsheetml/2006/main">
  <x:si>
    <x:t xml:space="preserve">统计项</x:t>
  </x:si>
  <x:si>
    <x:t xml:space="preserve">数值</x:t>
  </x:si>
  <x:si>
    <x:t xml:space="preserve">外部连接器针脚</x:t>
  </x:si>
  <x:si>
    <x:t xml:space="preserve">板卡排针针脚</x:t>
  </x:si>
  <x:si>
    <x:t xml:space="preserve">外部悬空单节点</x:t>
  </x:si>
  <x:si>
    <x:t xml:space="preserve">正常接口</x:t>
  </x:si>
  <x:si>
    <x:t xml:space="preserve">待系统/台架/设计确认</x:t>
  </x:si>
  <x:si>
    <x:t xml:space="preserve">PMOS高边输出</x:t>
  </x:si>
  <x:si>
    <x:t xml:space="preserve">错误灯低边继电器输出</x:t>
  </x:si>
  <x:si>
    <x:t xml:space="preserve">使用规则</x:t>
  </x:si>
  <x:si>
    <x:t xml:space="preserve">内容</x:t>
  </x:si>
  <x:si>
    <x:t xml:space="preserve">关键电气结构</x:t>
  </x:si>
  <x:si>
    <x:t xml:space="preserve">开路含义</x:t>
  </x:si>
  <x:si>
    <x:t xml:space="preserve">继电器触点或MOS关闭后的开路不是固定0V；除非表中有下拉或外部负载提供下拉。</x:t>
  </x:si>
  <x:si>
    <x:t xml:space="preserve">G5Q针脚</x:t>
  </x:si>
  <x:si>
    <x:t xml:space="preserve">G5Q-14底视图：1/5线圈，2公共端COM，3常开NO，4常闭NC。</x:t>
  </x:si>
  <x:si>
    <x:t xml:space="preserve">错误灯输出</x:t>
  </x:si>
  <x:si>
    <x:t xml:space="preserve">常开负载输出</x:t>
  </x:si>
  <x:si>
    <x:t xml:space="preserve">RUN、DI8、制动灯、ASSI和蜂鸣器均使用2–3常开触点：继电器释放时输出开路，线圈吸合后才接通12V或GND。</x:t>
  </x:si>
  <x:si>
    <x:t xml:space="preserve">光耦隔离</x:t>
  </x:si>
  <x:si>
    <x:t xml:space="preserve">U15/U19/U20输入LED阴极和输出发射极共用GND，因此只作电平转换/缓冲，不构成电气隔离。</x:t>
  </x:si>
  <x:si>
    <x:t xml:space="preserve">PMOS高边</x:t>
  </x:si>
  <x:si>
    <x:t xml:space="preserve">24V状态仅控制光耦；负载能量来自CN8.15的12V，AOD4185将12V送到输出。</x:t>
  </x:si>
  <x:si>
    <x:t xml:space="preserve">模拟输入</x:t>
  </x:si>
  <x:si>
    <x:t xml:space="preserve">OIL/CURRENT/V_BATTERY/V_CONTROLLER均为低压模拟量，严禁接12/24V或牵引高压。</x:t>
  </x:si>
  <x:si>
    <x:t xml:space="preserve">安全回路</x:t>
  </x:si>
  <x:si>
    <x:t xml:space="preserve">SCOUT、SDC、ISDC/OSDC属于安全回路/触点信号，不能按普通数字I/O理解。</x:t>
  </x:si>
  <x:si>
    <x:t xml:space="preserve">当前必须冻结的定义</x:t>
  </x:si>
  <x:si>
    <x:t xml:space="preserve">现状</x:t>
  </x:si>
  <x:si>
    <x:t xml:space="preserve">风险</x:t>
  </x:si>
  <x:si>
    <x:t xml:space="preserve">需要的输入</x:t>
  </x:si>
  <x:si>
    <x:t xml:space="preserve">责任对象</x:t>
  </x:si>
  <x:si>
    <x:t xml:space="preserve">验证方式</x:t>
  </x:si>
  <x:si>
    <x:t xml:space="preserve">文档输出</x:t>
  </x:si>
  <x:si>
    <x:t xml:space="preserve">状态</x:t>
  </x:si>
  <x:si>
    <x:t xml:space="preserve">连接器</x:t>
  </x:si>
  <x:si>
    <x:t xml:space="preserve">针脚</x:t>
  </x:si>
  <x:si>
    <x:t xml:space="preserve">信号名</x:t>
  </x:si>
  <x:si>
    <x:t xml:space="preserve">方向</x:t>
  </x:si>
  <x:si>
    <x:t xml:space="preserve">类别/结构</x:t>
  </x:si>
  <x:si>
    <x:t xml:space="preserve">标称电压/电流</x:t>
  </x:si>
  <x:si>
    <x:t xml:space="preserve">有效逻辑/工作条件</x:t>
  </x:si>
  <x:si>
    <x:t xml:space="preserve">无效/掉电/断线状态</x:t>
  </x:si>
  <x:si>
    <x:t xml:space="preserve">内部连接与处理</x:t>
  </x:si>
  <x:si>
    <x:t xml:space="preserve">外部接线/负载要求</x:t>
  </x:si>
  <x:si>
    <x:t xml:space="preserve">最新网表节点</x:t>
  </x:si>
  <x:si>
    <x:t xml:space="preserve">备注</x:t>
  </x:si>
  <x:si>
    <x:t xml:space="preserve">CN7</x:t>
  </x:si>
  <x:si>
    <x:t xml:space="preserve">输出</x:t>
  </x:si>
  <x:si>
    <x:t xml:space="preserve">继电器常开低边触点</x:t>
  </x:si>
  <x:si>
    <x:t xml:space="preserve">开路/接GND</x:t>
  </x:si>
  <x:si>
    <x:t xml:space="preserve">IMD_LED或LED_IMD_ERROR_VCU为高时，K13吸合，2–3常开触点闭合，输出拉至GND</x:t>
  </x:si>
  <x:si>
    <x:t xml:space="preserve">两路均低、基板12V掉电或继电器释放时开路</x:t>
  </x:si>
  <x:si>
    <x:t xml:space="preserve">H17.1与CN7.20经肖特基二极管或联→U17低边驱动→K13；K13.2=GND(COM)，K13.3=NO</x:t>
  </x:si>
  <x:si>
    <x:t xml:space="preserve">外部错误灯/负载另一端接匹配正电源；不要把开路理解为0V</x:t>
  </x:si>
  <x:si>
    <x:t xml:space="preserve">正常</x:t>
  </x:si>
  <x:si>
    <x:t xml:space="preserve">G5Q触点器件额定不等于基板接口额定，最终电流受连接器、铜皮和保险限制</x:t>
  </x:si>
  <x:si>
    <x:t xml:space="preserve">BMS_LED或LED_BMS_ERROR_VCU为高时，K14吸合，2–3触点闭合并拉低输出</x:t>
  </x:si>
  <x:si>
    <x:t xml:space="preserve">两路均低或掉电时开路</x:t>
  </x:si>
  <x:si>
    <x:t xml:space="preserve">H17.2与CN7.19二极管或联→U18→K14；K14.2=GND(COM)，K14.3=NO</x:t>
  </x:si>
  <x:si>
    <x:t xml:space="preserve">外部BMS错误灯阴极/低边负载</x:t>
  </x:si>
  <x:si>
    <x:t xml:space="preserve">继电器常开高边触点</x:t>
  </x:si>
  <x:si>
    <x:t xml:space="preserve">开路/约12V</x:t>
  </x:si>
  <x:si>
    <x:t xml:space="preserve">RUN_VCU为约12V高电平时K2吸合，K2.2(COM)与K2.3(NO/12V)闭合，RUN输出约12V</x:t>
  </x:si>
  <x:si>
    <x:t xml:space="preserve">RUN_VCU低或开路、线圈掉电时K2释放，RUN开路；基板12V掉电时无电压</x:t>
  </x:si>
  <x:si>
    <x:t xml:space="preserve">K2.3=12V(NO)，K2.2=RUN(COM)，K2.4=NC未使用</x:t>
  </x:si>
  <x:si>
    <x:t xml:space="preserve">后级输入需有明确下拉；这是高电平接通输出的接口</x:t>
  </x:si>
  <x:si>
    <x:t xml:space="preserve">需系统确认</x:t>
  </x:si>
  <x:si>
    <x:t xml:space="preserve">确认RUN控制高、掉线开路是否符合系统失效安全意图</x:t>
  </x:si>
  <x:si>
    <x:t xml:space="preserve">DI8_VCU为约12V高电平时K5吸合，DI8输出约12V</x:t>
  </x:si>
  <x:si>
    <x:t xml:space="preserve">DI8_VCU低或开路、线圈掉电时DI8开路</x:t>
  </x:si>
  <x:si>
    <x:t xml:space="preserve">K5.3=12V(NO)，K5.2=DI8(COM)，K5.4=NC未使用</x:t>
  </x:si>
  <x:si>
    <x:t xml:space="preserve">后级需下拉；控制高表示接通DI8输出</x:t>
  </x:si>
  <x:si>
    <x:t xml:space="preserve">R2D_BUZZER_VCU为约12V高电平时K7吸合，K7.2(COM)与K7.3(NO/GND)闭合，输出接GND</x:t>
  </x:si>
  <x:si>
    <x:t xml:space="preserve">命令低或开路、线圈掉电时输出开路</x:t>
  </x:si>
  <x:si>
    <x:t xml:space="preserve">K7.3=GND(NO)，K7.2=输出(COM)，K7.4=NC未使用</x:t>
  </x:si>
  <x:si>
    <x:t xml:space="preserve">蜂鸣器另一端接匹配正电源；高电平命令用于开启蜂鸣器</x:t>
  </x:si>
  <x:si>
    <x:t xml:space="preserve">LED_BRAKE_VCU拉低时K6线圈吸合，K6.2(COM)与K6.3(NO/12V)闭合，输出约12V</x:t>
  </x:si>
  <x:si>
    <x:t xml:space="preserve">VCU高或开路、线圈掉电时输出开路</x:t>
  </x:si>
  <x:si>
    <x:t xml:space="preserve">K6.3=12V(NO)，K6.2=输出(COM)，K6.4=NC未使用；线圈高端接12V，VCU端灌电流</x:t>
  </x:si>
  <x:si>
    <x:t xml:space="preserve">负载另一端接GND；VCU低电平开启制动灯输出</x:t>
  </x:si>
  <x:si>
    <x:t xml:space="preserve">ASSI_Y_VCU拉低时K8吸合，输出约12V</x:t>
  </x:si>
  <x:si>
    <x:t xml:space="preserve">K8.3=12V(NO)，K8.2=输出(COM)，K8.4=NC未使用</x:t>
  </x:si>
  <x:si>
    <x:t xml:space="preserve">黄色ASSI灯高边输出；VCU低电平开启</x:t>
  </x:si>
  <x:si>
    <x:t xml:space="preserve">ASSI_B_VCU拉低时K11吸合，输出约12V</x:t>
  </x:si>
  <x:si>
    <x:t xml:space="preserve">K11.3=12V(NO)，K11.2=输出(COM)，K11.4=NC未使用</x:t>
  </x:si>
  <x:si>
    <x:t xml:space="preserve">蓝色ASSI灯高边输出；VCU低电平开启</x:t>
  </x:si>
  <x:si>
    <x:t xml:space="preserve">电源参考</x:t>
  </x:si>
  <x:si>
    <x:t xml:space="preserve">低压地</x:t>
  </x:si>
  <x:si>
    <x:t xml:space="preserve">0V</x:t>
  </x:si>
  <x:si>
    <x:t xml:space="preserve">—</x:t>
  </x:si>
  <x:si>
    <x:t xml:space="preserve">公共低压GND</x:t>
  </x:si>
  <x:si>
    <x:t xml:space="preserve">与CN8.17及各板卡GND共网</x:t>
  </x:si>
  <x:si>
    <x:t xml:space="preserve">EMERGENCY_BUZZER_VCU拉低时K9吸合，K9.2(COM)与K9.3(NO/GND)闭合，输出接GND</x:t>
  </x:si>
  <x:si>
    <x:t xml:space="preserve">K9.3=GND(NO)，K9.2=输出(COM)，K9.4=NC未使用；线圈高端12V，VCU灌电流</x:t>
  </x:si>
  <x:si>
    <x:t xml:space="preserve">蜂鸣器另一端接匹配正电源；VCU低电平开启</x:t>
  </x:si>
  <x:si>
    <x:t xml:space="preserve">输入</x:t>
  </x:si>
  <x:si>
    <x:t xml:space="preserve">12V源电流型线圈控制</x:t>
  </x:si>
  <x:si>
    <x:t xml:space="preserve">12V高有效，约33mA</x:t>
  </x:si>
  <x:si>
    <x:t xml:space="preserve">输入约12V时K7吸合，R2D_BUZZER通过2–3常开触点接GND并开启</x:t>
  </x:si>
  <x:si>
    <x:t xml:space="preserve">0V/开路时K7释放，R2D_BUZZER开路</x:t>
  </x:si>
  <x:si>
    <x:t xml:space="preserve">直接驱动G5Q-14-DC12线圈；D9续流</x:t>
  </x:si>
  <x:si>
    <x:t xml:space="preserve">VCU输出需能源出约33mA，不是高阻数字输入</x:t>
  </x:si>
  <x:si>
    <x:t xml:space="preserve">高电平使K5吸合并接通DI8的12V输出</x:t>
  </x:si>
  <x:si>
    <x:t xml:space="preserve">0V/开路时K5释放，DI8开路</x:t>
  </x:si>
  <x:si>
    <x:t xml:space="preserve">直接驱动G5Q线圈；D16续流</x:t>
  </x:si>
  <x:si>
    <x:t xml:space="preserve">VCU需源出约33mA；逻辑为高电平开启</x:t>
  </x:si>
  <x:si>
    <x:t xml:space="preserve">高电平使K2吸合并接通RUN的12V输出</x:t>
  </x:si>
  <x:si>
    <x:t xml:space="preserve">0V/开路时K2释放，RUN开路</x:t>
  </x:si>
  <x:si>
    <x:t xml:space="preserve">直接驱动G5Q线圈；D17续流</x:t>
  </x:si>
  <x:si>
    <x:t xml:space="preserve">12V高阻逻辑命令</x:t>
  </x:si>
  <x:si>
    <x:t xml:space="preserve">12V高有效，稳态约0.1mA</x:t>
  </x:si>
  <x:si>
    <x:t xml:space="preserve">高电平与BMS_LED作OR，驱动K14吸合</x:t>
  </x:si>
  <x:si>
    <x:t xml:space="preserve">低/开路时R19下拉，硬件BMS_LED仍可触发</x:t>
  </x:si>
  <x:si>
    <x:t xml:space="preserve">D31→U18 Gate，R19=100k下拉</x:t>
  </x:si>
  <x:si>
    <x:t xml:space="preserve">需与基板GND共地</x:t>
  </x:si>
  <x:si>
    <x:t xml:space="preserve">高电平与IMD_LED作OR，驱动K13吸合</x:t>
  </x:si>
  <x:si>
    <x:t xml:space="preserve">低/开路时R18下拉，硬件IMD_LED仍可触发</x:t>
  </x:si>
  <x:si>
    <x:t xml:space="preserve">D29→U17 Gate，R18=100k下拉</x:t>
  </x:si>
  <x:si>
    <x:t xml:space="preserve">CN8</x:t>
  </x:si>
  <x:si>
    <x:t xml:space="preserve">输入/直通</x:t>
  </x:si>
  <x:si>
    <x:t xml:space="preserve">模拟状态电压</x:t>
  </x:si>
  <x:si>
    <x:t xml:space="preserve">正常约12V、错误约9V（现有系统定义）</x:t>
  </x:si>
  <x:si>
    <x:t xml:space="preserve">由错误锁存板比较并锁存IMD故障</x:t>
  </x:si>
  <x:si>
    <x:t xml:space="preserve">断线/异常电压的判定取决于锁存板阈值</x:t>
  </x:si>
  <x:si>
    <x:t xml:space="preserve">直通H12.1，无基板调理</x:t>
  </x:si>
  <x:si>
    <x:t xml:space="preserve">禁止超过锁存板允许输入；台架扫描阈值和容差</x:t>
  </x:si>
  <x:si>
    <x:t xml:space="preserve">需台架确认</x:t>
  </x:si>
  <x:si>
    <x:t xml:space="preserve">正常约12V、错误约10V（现有系统定义）</x:t>
  </x:si>
  <x:si>
    <x:t xml:space="preserve">由错误锁存板比较并锁存BMS故障</x:t>
  </x:si>
  <x:si>
    <x:t xml:space="preserve">断线/异常电压取决于比较阈值</x:t>
  </x:si>
  <x:si>
    <x:t xml:space="preserve">直通H12.2，无基板调理</x:t>
  </x:si>
  <x:si>
    <x:t xml:space="preserve">用真实BMS输出验证阈值窗口</x:t>
  </x:si>
  <x:si>
    <x:t xml:space="preserve">12V灌电流型线圈控制</x:t>
  </x:si>
  <x:si>
    <x:t xml:space="preserve">低有效，约33mA灌电流</x:t>
  </x:si>
  <x:si>
    <x:t xml:space="preserve">拉低使K9吸合并将EMERGENCY_BUZZER输出接GND，开启蜂鸣器</x:t>
  </x:si>
  <x:si>
    <x:t xml:space="preserve">高电平/开路时K9释放，蜂鸣器输出开路</x:t>
  </x:si>
  <x:si>
    <x:t xml:space="preserve">12V→K9线圈→VCU；D8续流</x:t>
  </x:si>
  <x:si>
    <x:t xml:space="preserve">VCU输出需能灌约33mA</x:t>
  </x:si>
  <x:si>
    <x:t xml:space="preserve">拉低使K6吸合并接通LED_BRAKE的12V输出</x:t>
  </x:si>
  <x:si>
    <x:t xml:space="preserve">高/开路时K6释放，LED_BRAKE开路</x:t>
  </x:si>
  <x:si>
    <x:t xml:space="preserve">12V→K6线圈→VCU；D10续流</x:t>
  </x:si>
  <x:si>
    <x:t xml:space="preserve">VCU需能灌约33mA</x:t>
  </x:si>
  <x:si>
    <x:t xml:space="preserve">拉低使K8吸合并接通ASSI_Y的12V输出</x:t>
  </x:si>
  <x:si>
    <x:t xml:space="preserve">高/开路时K8释放，ASSI_Y开路</x:t>
  </x:si>
  <x:si>
    <x:t xml:space="preserve">12V→K8线圈→VCU；D11续流</x:t>
  </x:si>
  <x:si>
    <x:t xml:space="preserve">拉低使K11吸合并接通ASSI_B的12V输出</x:t>
  </x:si>
  <x:si>
    <x:t xml:space="preserve">高/开路时K11释放，ASSI_B开路</x:t>
  </x:si>
  <x:si>
    <x:t xml:space="preserve">12V→K11线圈→VCU；D12续流</x:t>
  </x:si>
  <x:si>
    <x:t xml:space="preserve">光耦控制PMOS高边12V输出</x:t>
  </x:si>
  <x:si>
    <x:r>
      <x:rPr>
        <x:sz val="1100"/>
        <x:color theme="1"/>
      </x:rPr>
      <x:t xml:space="preserve">0/12V</x:t>
    </x:r>
    <x:r>
      <x:rPr>
        <x:sz val="1100"/>
        <x:color theme="1"/>
        <x:rFont val="宋体"/>
        <x:family val="3"/>
      </x:rPr>
      <x:t xml:space="preserve">；输入端</x:t>
    </x:r>
    <x:r>
      <x:rPr>
        <x:sz val="1100"/>
        <x:color theme="1"/>
        <x:rFont val="Carlito"/>
      </x:rPr>
      <x:t xml:space="preserve">24V</x:t>
    </x:r>
    <x:r>
      <x:rPr>
        <x:sz val="1100"/>
        <x:color theme="1"/>
        <x:rFont val="宋体"/>
        <x:family val="3"/>
      </x:rPr>
      <x:t xml:space="preserve">高有效</x:t>
    </x:r>
  </x:si>
  <x:si>
    <x:t xml:space="preserve">CN12.2 SHUTDOWNE_IN约24V时，U20导通并拉低Q4 Gate，输出12V</x:t>
  </x:si>
  <x:si>
    <x:t xml:space="preserve">输入无24V或12V掉电时Q4关闭，R39=100k将输出拉低</x:t>
  </x:si>
  <x:si>
    <x:t xml:space="preserve">2×2.4k输入限流+LTV-217+10k Gate上拉+4.7k光耦下拉+BZT52C10S钳位+AOD4185</x:t>
  </x:si>
  <x:si>
    <x:t xml:space="preserve">可带较大负载，但接口允许电流必须按PCB铜皮、连接器、保险和温升单独冻结；当前输入/输出共GND，不构成隔离</x:t>
  </x:si>
  <x:si>
    <x:t xml:space="preserve">需负载确认</x:t>
  </x:si>
  <x:si>
    <x:t xml:space="preserve">0/12V；输入端24V高有效</x:t>
  </x:si>
  <x:si>
    <x:t xml:space="preserve">CN12.1 SHUTDOWNS_IN约24V时输出12V</x:t>
  </x:si>
  <x:si>
    <x:t xml:space="preserve">输入无24V或12V掉电时R37下拉为0V</x:t>
  </x:si>
  <x:si>
    <x:t xml:space="preserve">U19+Q3高边开关，结构同SHUTDOWN_END</x:t>
  </x:si>
  <x:si>
    <x:t xml:space="preserve">允许电流需按实际负载冻结；共地，不是隔离输出</x:t>
  </x:si>
  <x:si>
    <x:t xml:space="preserve">24V状态/继电器线圈/触点源</x:t>
  </x:si>
  <x:si>
    <x:t xml:space="preserve">约24V高有效；典型输入电流约22mA</x:t>
  </x:si>
  <x:si>
    <x:t xml:space="preserve">ASMS高时HF115F/024线圈吸合，同时光耦U15导通并生成ASMS_VCU=12V</x:t>
  </x:si>
  <x:si>
    <x:t xml:space="preserve">ASMS低/断线时继电器释放，ASMS_VCU由R38拉低</x:t>
  </x:si>
  <x:si>
    <x:t xml:space="preserve">同时连接RELAY1线圈、第一组NC触点、U15输入；D22续流/钳位</x:t>
  </x:si>
  <x:si>
    <x:t xml:space="preserve">由ASMS开关后的24V供给；线束和开关需承担继电器线圈+光耦LED电流</x:t>
  </x:si>
  <x:si>
    <x:t xml:space="preserve">电源输入</x:t>
  </x:si>
  <x:si>
    <x:t xml:space="preserve">基板12V母线</x:t>
  </x:si>
  <x:si>
    <x:t xml:space="preserve">标称12V</x:t>
  </x:si>
  <x:si>
    <x:t xml:space="preserve">给G5Q继电器、错误锁存供电排针、三路PMOS高边源极和其他辅助电路供电</x:t>
  </x:si>
  <x:si>
    <x:t xml:space="preserve">掉电后所有12V输出、错误灯继电器及PMOS输出均失效</x:t>
  </x:si>
  <x:si>
    <x:t xml:space="preserve">连接H8.1、H13.2、K2/K5/K6/K8/K9/K11/K12/K13/K14及Q2/Q3/Q4 Source等</x:t>
  </x:si>
  <x:si>
    <x:t xml:space="preserve">需按最大同时吸合线圈数、外部负载和PMOS输出总电流配置保险、连接器和线宽</x:t>
  </x:si>
  <x:si>
    <x:t xml:space="preserve">需电源预算</x:t>
  </x:si>
  <x:si>
    <x:t xml:space="preserve">ASMS有效时约12V，否则0V</x:t>
  </x:si>
  <x:si>
    <x:t xml:space="preserve">ASMS约24V时U15导通，Q2开启，输出12V</x:t>
  </x:si>
  <x:si>
    <x:t xml:space="preserve">ASMS无效、输入断线或12V掉电时Q2关闭，R38=100k下拉</x:t>
  </x:si>
  <x:si>
    <x:t xml:space="preserve">LTV-217控制AOD4185；Gate有10k上拉、4.7k下拉驱动和10V栅源钳位</x:t>
  </x:si>
  <x:si>
    <x:t xml:space="preserve">输出负载电流需冻结；当前24V侧和12V侧共GND，因此只作电平转换/缓冲</x:t>
  </x:si>
  <x:si>
    <x:t xml:space="preserve">公共GND</x:t>
  </x:si>
  <x:si>
    <x:t xml:space="preserve">与CN7.10、光耦输入/输出侧及板卡共地</x:t>
  </x:si>
  <x:si>
    <x:t xml:space="preserve">HF115F第一组常闭触点</x:t>
  </x:si>
  <x:si>
    <x:t xml:space="preserve">继电器释放时与ASMS导通；吸合时开路</x:t>
  </x:si>
  <x:si>
    <x:t xml:space="preserve">ASMS低/无电使RELAY1释放时，RELAY1.2与.3导通</x:t>
  </x:si>
  <x:si>
    <x:t xml:space="preserve">ASMS高使RELAY1吸合后该触点断开</x:t>
  </x:si>
  <x:si>
    <x:t xml:space="preserve">RELAY1.2=ASMS侧NC，RELAY1.3=ISDC侧COM（按当前网表使用）</x:t>
  </x:si>
  <x:si>
    <x:t xml:space="preserve">这是触点路径，不是固定0/12V逻辑；电位跟随ASMS端</x:t>
  </x:si>
  <x:si>
    <x:t xml:space="preserve">HF115F第二组常开触点</x:t>
  </x:si>
  <x:si>
    <x:t xml:space="preserve">继电器吸合时与AS_PWR导通；释放时开路</x:t>
  </x:si>
  <x:si>
    <x:t xml:space="preserve">ASMS高使RELAY1吸合，OSDC_ASRL连接AS_PWR</x:t>
  </x:si>
  <x:si>
    <x:t xml:space="preserve">ASMS低/掉电时开路</x:t>
  </x:si>
  <x:si>
    <x:t xml:space="preserve">RELAY1.5=OSDC侧NO，RELAY1.6=AS_PWR侧COM（按当前网表使用）</x:t>
  </x:si>
  <x:si>
    <x:t xml:space="preserve">电压和负载能力取决于CN8.20 AS_PWR及触点/铜皮/连接器</x:t>
  </x:si>
  <x:si>
    <x:t xml:space="preserve">外部降压后电源/触点源</x:t>
  </x:si>
  <x:si>
    <x:t xml:space="preserve">电压待系统冻结，通常预期12V</x:t>
  </x:si>
  <x:si>
    <x:t xml:space="preserve">RELAY1吸合时经常开触点送至OSDC_ASRL</x:t>
  </x:si>
  <x:si>
    <x:t xml:space="preserve">继电器释放时与OSDC断开</x:t>
  </x:si>
  <x:si>
    <x:t xml:space="preserve">仅连接RELAY1.6；基板没有从ASMS生成AS_PWR的DC/DC</x:t>
  </x:si>
  <x:si>
    <x:t xml:space="preserve">必须由外部独立电源或降压模块供给，明确电压、GND、保险和最大电流</x:t>
  </x:si>
  <x:si>
    <x:t xml:space="preserve">CN9</x:t>
  </x:si>
  <x:si>
    <x:t xml:space="preserve">输出/直通</x:t>
  </x:si>
  <x:si>
    <x:t xml:space="preserve">5V同相逻辑</x:t>
  </x:si>
  <x:si>
    <x:t xml:space="preserve">主负辅助触点闭合=5V，断开=0V</x:t>
  </x:si>
  <x:si>
    <x:t xml:space="preserve">与MAINN#互补</x:t>
  </x:si>
  <x:si>
    <x:t xml:space="preserve">{wiring}</x:t>
  </x:si>
  <x:si>
    <x:t xml:space="preserve">5V反相逻辑</x:t>
  </x:si>
  <x:si>
    <x:t xml:space="preserve">主负辅助触点闭合=0V，断开=5V</x:t>
  </x:si>
  <x:si>
    <x:t xml:space="preserve">与MAINN_ACTUAL互补</x:t>
  </x:si>
  <x:si>
    <x:t xml:space="preserve">预充辅助触点闭合=0V，断开=5V</x:t>
  </x:si>
  <x:si>
    <x:t xml:space="preserve">与PRE_ACTUAL互补</x:t>
  </x:si>
  <x:si>
    <x:t xml:space="preserve">0~5V；当前系统0~20MPa→0~5V</x:t>
  </x:si>
  <x:si>
    <x:t xml:space="preserve">约30bar对应约0.75V，BSPD据此判断制动压力条件</x:t>
  </x:si>
  <x:si>
    <x:t xml:space="preserve">开路/低于阈值通常判制动条件无效，具体故障逻辑由BSPD板决定</x:t>
  </x:si>
  <x:si>
    <x:t xml:space="preserve">传感器输出必须以基板GND为参考；禁止输入12/24V</x:t>
  </x:si>
  <x:si>
    <x:t xml:space="preserve">预充辅助触点闭合=5V，断开=0V</x:t>
  </x:si>
  <x:si>
    <x:t xml:space="preserve">与PRE#互补</x:t>
  </x:si>
  <x:si>
    <x:t xml:space="preserve">主正辅助触点闭合=0V，断开=5V</x:t>
  </x:si>
  <x:si>
    <x:t xml:space="preserve">与MAINP_ACTUAL互补</x:t>
  </x:si>
  <x:si>
    <x:t xml:space="preserve">主正辅助触点闭合=5V，断开=0V</x:t>
  </x:si>
  <x:si>
    <x:t xml:space="preserve">与MAINP#互补</x:t>
  </x:si>
  <x:si>
    <x:t xml:space="preserve">CN10</x:t>
  </x:si>
  <x:si>
    <x:t xml:space="preserve">NC</x:t>
  </x:si>
  <x:si>
    <x:t xml:space="preserve">未连接</x:t>
  </x:si>
  <x:si>
    <x:t xml:space="preserve">保留针脚</x:t>
  </x:si>
  <x:si>
    <x:t xml:space="preserve">无网络</x:t>
  </x:si>
  <x:si>
    <x:t xml:space="preserve">标NC</x:t>
  </x:si>
  <x:si>
    <x:t xml:space="preserve">0~5V；当前系统0~50A→0~5V</x:t>
  </x:si>
  <x:si>
    <x:t xml:space="preserve">约11.1A（5kW@450V）对应约1.11V</x:t>
  </x:si>
  <x:si>
    <x:t xml:space="preserve">低于阈值表示电流条件无效；开路判据由BSPD板决定</x:t>
  </x:si>
  <x:si>
    <x:t xml:space="preserve">禁止输入12/24V；采用高阻模拟信号布线</x:t>
  </x:si>
  <x:si>
    <x:t xml:space="preserve">隔离电压传感器低压模拟量</x:t>
  </x:si>
  <x:si>
    <x:t xml:space="preserve">当前系统定义0~500V→1~5V</x:t>
  </x:si>
  <x:si>
    <x:t xml:space="preserve">由TSAL板判断电池侧高压是否低于/高于规则阈值</x:t>
  </x:si>
  <x:si>
    <x:t xml:space="preserve">传感器断线和越界策略由TSAL板比较/锁存电路处理</x:t>
  </x:si>
  <x:si>
    <x:t xml:space="preserve">直通H15.2</x:t>
  </x:si>
  <x:si>
    <x:t xml:space="preserve">只能接隔离电压传感器低压输出，严禁直接接牵引高压</x:t>
  </x:si>
  <x:si>
    <x:t xml:space="preserve">TSAL绿灯低边开关</x:t>
  </x:si>
  <x:si>
    <x:t xml:space="preserve">导通拉GND/关断高阻</x:t>
  </x:si>
  <x:si>
    <x:t xml:space="preserve">满足绿灯条件时持续拉低</x:t>
  </x:si>
  <x:si>
    <x:t xml:space="preserve">不满足或TSAL掉电时高阻</x:t>
  </x:si>
  <x:si>
    <x:t xml:space="preserve">直通H14.1，由TSAL板输出级驱动</x:t>
  </x:si>
  <x:si>
    <x:t xml:space="preserve">外部绿灯正端接规定电源并限流，负端接本针</x:t>
  </x:si>
  <x:si>
    <x:t xml:space="preserve">TSAL红灯低边开关</x:t>
  </x:si>
  <x:si>
    <x:t xml:space="preserve">满足红灯条件时按规则频率闪烁拉低</x:t>
  </x:si>
  <x:si>
    <x:t xml:space="preserve">直通H14.2</x:t>
  </x:si>
  <x:si>
    <x:t xml:space="preserve">外部红灯正端接规定电源并限流，负端接本针</x:t>
  </x:si>
  <x:si>
    <x:t xml:space="preserve">由TSAL板判断控制器/DC-link侧高压状态</x:t>
  </x:si>
  <x:si>
    <x:t xml:space="preserve">传感器断线和越界策略由TSAL板处理</x:t>
  </x:si>
  <x:si>
    <x:t xml:space="preserve">直通H10.2</x:t>
  </x:si>
  <x:si>
    <x:t xml:space="preserve">只能接隔离传感器输出，严禁直接接牵引高压</x:t>
  </x:si>
  <x:si>
    <x:t xml:space="preserve">24V低压电源</x:t>
  </x:si>
  <x:si>
    <x:t xml:space="preserve">标称24V</x:t>
  </x:si>
  <x:si>
    <x:t xml:space="preserve">同时送BSPD供电H2.1和安全回路相关H6.1</x:t>
  </x:si>
  <x:si>
    <x:t xml:space="preserve">掉电时BSPD和相关安全回路功能失效/进入安全状态</x:t>
  </x:si>
  <x:si>
    <x:t xml:space="preserve">直通H2.1、H6.1</x:t>
  </x:si>
  <x:si>
    <x:t xml:space="preserve">按BSPD与安全回路最大电流配置保险和线束</x:t>
  </x:si>
  <x:si>
    <x:t xml:space="preserve">CN11</x:t>
  </x:si>
  <x:si>
    <x:t xml:space="preserve">VCU直接输出看门狗方波</x:t>
  </x:si>
  <x:si>
    <x:t xml:space="preserve">0–5 V推挽方波/10 Hz</x:t>
  </x:si>
  <x:si>
    <x:t xml:space="preserve">持续翻转表示VCU运行，停止/异常由EBS板判定</x:t>
  </x:si>
  <x:si>
    <x:t xml:space="preserve">开路或停止翻转应触发EBS安全动作，具体时间由EBS板定义</x:t>
  </x:si>
  <x:si>
    <x:t xml:space="preserve">直通H4.1，基板不做调理</x:t>
  </x:si>
  <x:si>
    <x:r>
      <x:rPr>
        <x:sz val="409"/>
        <x:color theme="1"/>
        <x:rFont val="Carlito"/>
      </x:rPr>
      <x:t xml:space="preserve">0–5V </x:t>
    </x:r>
    <x:r>
      <x:rPr>
        <x:sz val="409"/>
        <x:color theme="1"/>
        <x:rFont val="宋体"/>
        <x:family val="3"/>
      </x:rPr>
      <x:t xml:space="preserve">推挽方波，频率</x:t>
    </x:r>
    <x:r>
      <x:rPr>
        <x:sz val="409"/>
        <x:color theme="1"/>
        <x:rFont val="Carlito"/>
      </x:rPr>
      <x:t xml:space="preserve">10 Hz </x:t>
    </x:r>
    <x:r>
      <x:rPr>
        <x:sz val="409"/>
        <x:color theme="1"/>
        <x:rFont val="宋体"/>
        <x:family val="3"/>
      </x:rPr>
      <x:t xml:space="preserve">，占空比</x:t>
    </x:r>
    <x:r>
      <x:rPr>
        <x:sz val="409"/>
        <x:color theme="1"/>
        <x:rFont val="Carlito"/>
      </x:rPr>
      <x:t xml:space="preserve">50%</x:t>
    </x:r>
  </x:si>
  <x:si>
    <x:t xml:space="preserve">12V→约4.7V限流钳位</x:t>
  </x:si>
  <x:si>
    <x:t xml:space="preserve">12V高有效，输入支路约7.3mA</x:t>
  </x:si>
  <x:si>
    <x:t xml:space="preserve">高电平经R7和D21形成约4.7V钳位节点，再经R41送EBS_TRIG</x:t>
  </x:si>
  <x:si>
    <x:t xml:space="preserve">低/开路时内部为低，具体偏置由EBS板输入决定</x:t>
  </x:si>
  <x:si>
    <x:t xml:space="preserve">EBS状态反馈</x:t>
  </x:si>
  <x:si>
    <x:t xml:space="preserve">预期0/12V，极性待确认</x:t>
  </x:si>
  <x:si>
    <x:t xml:space="preserve">由EBS板输出状态</x:t>
  </x:si>
  <x:si>
    <x:t xml:space="preserve">故障、掉电和断线状态需台架确认</x:t>
  </x:si>
  <x:si>
    <x:t xml:space="preserve">直通H4.3</x:t>
  </x:si>
  <x:si>
    <x:t xml:space="preserve">对接VCU高阻12V数字输入</x:t>
  </x:si>
  <x:si>
    <x:t xml:space="preserve">EBS执行器/继电器电源输出</x:t>
  </x:si>
  <x:si>
    <x:t xml:space="preserve">正常约24V</x:t>
  </x:si>
  <x:si>
    <x:t xml:space="preserve">EBS允许工作时输出约24V</x:t>
  </x:si>
  <x:si>
    <x:t xml:space="preserve">触发、看门狗异常或掉电时约0V/断开</x:t>
  </x:si>
  <x:si>
    <x:t xml:space="preserve">直通H3.2</x:t>
  </x:si>
  <x:si>
    <x:t xml:space="preserve">不是普通逻辑信号，负载能力由EBS板触点、线束和保护决定</x:t>
  </x:si>
  <x:si>
    <x:t xml:space="preserve">安全回路输出</x:t>
  </x:si>
  <x:si>
    <x:t xml:space="preserve">安全回路电压/触点</x:t>
  </x:si>
  <x:si>
    <x:t xml:space="preserve">无故障时由错误锁存板保持安全回路导通</x:t>
  </x:si>
  <x:si>
    <x:t xml:space="preserve">故障或掉电时应断开</x:t>
  </x:si>
  <x:si>
    <x:t xml:space="preserve">直通H19.2</x:t>
  </x:si>
  <x:si>
    <x:t xml:space="preserve">不是固定0/5/12V逻辑输出</x:t>
  </x:si>
  <x:si>
    <x:t xml:space="preserve">由EBS板继电器/逻辑状态生成</x:t>
  </x:si>
  <x:si>
    <x:t xml:space="preserve">故障、掉电和断线组合需台架确认</x:t>
  </x:si>
  <x:si>
    <x:t xml:space="preserve">直通H3.4</x:t>
  </x:si>
  <x:si>
    <x:t xml:space="preserve">对接VCU高阻数字输入</x:t>
  </x:si>
  <x:si>
    <x:t xml:space="preserve">EBS板24V电源</x:t>
  </x:si>
  <x:si>
    <x:t xml:space="preserve">为EBS板供电</x:t>
  </x:si>
  <x:si>
    <x:t xml:space="preserve">掉电应使EBS进入安全状态</x:t>
  </x:si>
  <x:si>
    <x:t xml:space="preserve">直通H1.1；H1.2为GND</x:t>
  </x:si>
  <x:si>
    <x:t xml:space="preserve">与GND成对布线并配置保险</x:t>
  </x:si>
  <x:si>
    <x:t xml:space="preserve">安全回路输入</x:t>
  </x:si>
  <x:si>
    <x:t xml:space="preserve">名义24V安全回路</x:t>
  </x:si>
  <x:si>
    <x:t xml:space="preserve">安全回路有效时送EBS板H3.1</x:t>
  </x:si>
  <x:si>
    <x:t xml:space="preserve">断开/掉电由EBS板处理并进入安全状态</x:t>
  </x:si>
  <x:si>
    <x:t xml:space="preserve">直通H3.1</x:t>
  </x:si>
  <x:si>
    <x:t xml:space="preserve">属于安全回路，不作为普通逻辑信号</x:t>
  </x:si>
  <x:si>
    <x:t xml:space="preserve">CN12</x:t>
  </x:si>
  <x:si>
    <x:t xml:space="preserve">24V状态输入</x:t>
  </x:si>
  <x:si>
    <x:t xml:space="preserve">24V高有效，光耦LED约4.75mA</x:t>
  </x:si>
  <x:si>
    <x:t xml:space="preserve">24V存在时生成CN8.12 SHUTDOWN_START=12V</x:t>
  </x:si>
  <x:si>
    <x:t xml:space="preserve">0V/断线时PMOS关闭，输出由100k下拉为0V</x:t>
  </x:si>
  <x:si>
    <x:t xml:space="preserve">2×2.4k串联限流、LTV-217输入，D37反并联保护；与输出侧共GND</x:t>
  </x:si>
  <x:si>
    <x:t xml:space="preserve">来自安全回路起点；不得作为大电流路径</x:t>
  </x:si>
  <x:si>
    <x:t xml:space="preserve">24V存在时生成CN8.11 SHUTDOWN_END=12V</x:t>
  </x:si>
  <x:si>
    <x:t xml:space="preserve">0V/断线时输出0V</x:t>
  </x:si>
  <x:si>
    <x:t xml:space="preserve">2×2.4k+LTV-217+D39，结构同起点通道</x:t>
  </x:si>
  <x:si>
    <x:t xml:space="preserve">来自安全回路终点；不得作为大电流路径</x:t>
  </x:si>
  <x:si>
    <x:t xml:space="preserve">排针</x:t>
  </x:si>
  <x:si>
    <x:t xml:space="preserve">所属板卡</x:t>
  </x:si>
  <x:si>
    <x:t xml:space="preserve">方向（相对板卡）</x:t>
  </x:si>
  <x:si>
    <x:t xml:space="preserve">标称电平/类型</x:t>
  </x:si>
  <x:si>
    <x:t xml:space="preserve">基板连接来源/去向</x:t>
  </x:si>
  <x:si>
    <x:t xml:space="preserve">定义与用途</x:t>
  </x:si>
  <x:si>
    <x:t xml:space="preserve">H1</x:t>
  </x:si>
  <x:si>
    <x:t xml:space="preserve">EBS</x:t>
  </x:si>
  <x:si>
    <x:t xml:space="preserve">24V电源</x:t>
  </x:si>
  <x:si>
    <x:t xml:space="preserve">来自CN11.9</x:t>
  </x:si>
  <x:si>
    <x:t xml:space="preserve">EBS板主电源</x:t>
  </x:si>
  <x:si>
    <x:t xml:space="preserve">低压公共地</x:t>
  </x:si>
  <x:si>
    <x:t xml:space="preserve">H2</x:t>
  </x:si>
  <x:si>
    <x:t xml:space="preserve">BSPD</x:t>
  </x:si>
  <x:si>
    <x:t xml:space="preserve">来自CN10.10</x:t>
  </x:si>
  <x:si>
    <x:t xml:space="preserve">BSPD板电源/安全回路相关供电</x:t>
  </x:si>
  <x:si>
    <x:t xml:space="preserve">H3</x:t>
  </x:si>
  <x:si>
    <x:t xml:space="preserve">安全回路名义24V</x:t>
  </x:si>
  <x:si>
    <x:t xml:space="preserve">来自CN11.10</x:t>
  </x:si>
  <x:si>
    <x:t xml:space="preserve">EBS安全回路输入</x:t>
  </x:si>
  <x:si>
    <x:t xml:space="preserve">至CN11.5</x:t>
  </x:si>
  <x:si>
    <x:t xml:space="preserve">EBS执行器/工作电源输出</x:t>
  </x:si>
  <x:si>
    <x:t xml:space="preserve">5V逻辑，低有效故障</x:t>
  </x:si>
  <x:si>
    <x:t xml:space="preserve">同时至H9.1</x:t>
  </x:si>
  <x:si>
    <x:t xml:space="preserve">送错误锁存板</x:t>
  </x:si>
  <x:si>
    <x:t xml:space="preserve">预期0/12V</x:t>
  </x:si>
  <x:si>
    <x:t xml:space="preserve">至CN11.7</x:t>
  </x:si>
  <x:si>
    <x:t xml:space="preserve">极性和组合状态需台架确认</x:t>
  </x:si>
  <x:si>
    <x:t xml:space="preserve">H4</x:t>
  </x:si>
  <x:si>
    <x:t xml:space="preserve">来自CN11.1</x:t>
  </x:si>
  <x:si>
    <x:r>
      <x:rPr>
        <x:sz val="1100"/>
        <x:color theme="1"/>
      </x:rPr>
      <x:t xml:space="preserve">0</x:t>
    </x:r>
    <x:r>
      <x:rPr>
        <x:sz val="1100"/>
        <x:color theme="1"/>
        <x:rFont val="宋体"/>
        <x:family val="3"/>
      </x:rPr>
      <x:t xml:space="preserve">–</x:t>
    </x:r>
    <x:r>
      <x:rPr>
        <x:sz val="1100"/>
        <x:color theme="1"/>
        <x:rFont val="Carlito"/>
      </x:rPr>
      <x:t xml:space="preserve">5V </x:t>
    </x:r>
    <x:r>
      <x:rPr>
        <x:sz val="1100"/>
        <x:color theme="1"/>
        <x:rFont val="宋体"/>
        <x:family val="3"/>
      </x:rPr>
      <x:t xml:space="preserve">推挽方波，频率</x:t>
    </x:r>
    <x:r>
      <x:rPr>
        <x:sz val="1100"/>
        <x:color theme="1"/>
        <x:rFont val="Carlito"/>
      </x:rPr>
      <x:t xml:space="preserve">10 Hz </x:t>
    </x:r>
    <x:r>
      <x:rPr>
        <x:sz val="1100"/>
        <x:color theme="1"/>
        <x:rFont val="宋体"/>
        <x:family val="3"/>
      </x:rPr>
      <x:t xml:space="preserve">，占空比</x:t>
    </x:r>
    <x:r>
      <x:rPr>
        <x:sz val="1100"/>
        <x:color theme="1"/>
        <x:rFont val="Carlito"/>
      </x:rPr>
      <x:t xml:space="preserve">50%</x:t>
    </x:r>
  </x:si>
  <x:si>
    <x:t xml:space="preserve">约0/4.7V，外部12V高有效</x:t>
  </x:si>
  <x:si>
    <x:t xml:space="preserve">至CN11.4</x:t>
  </x:si>
  <x:si>
    <x:t xml:space="preserve">极性需台架确认</x:t>
  </x:si>
  <x:si>
    <x:t xml:space="preserve">H5</x:t>
  </x:si>
  <x:si>
    <x:t xml:space="preserve">0~5V模拟量</x:t>
  </x:si>
  <x:si>
    <x:t xml:space="preserve">H6</x:t>
  </x:si>
  <x:si>
    <x:t xml:space="preserve">H6输出/H19输入</x:t>
  </x:si>
  <x:si>
    <x:t xml:space="preserve">H6.2与H19.1直连</x:t>
  </x:si>
  <x:si>
    <x:t xml:space="preserve">BSPD输出送错误锁存板</x:t>
  </x:si>
  <x:si>
    <x:t xml:space="preserve">H7</x:t>
  </x:si>
  <x:si>
    <x:t xml:space="preserve">H8</x:t>
  </x:si>
  <x:si>
    <x:t xml:space="preserve">12V辅助供电</x:t>
  </x:si>
  <x:si>
    <x:t xml:space="preserve">电源</x:t>
  </x:si>
  <x:si>
    <x:t xml:space="preserve">12V</x:t>
  </x:si>
  <x:si>
    <x:t xml:space="preserve">来自CN8.15</x:t>
  </x:si>
  <x:si>
    <x:t xml:space="preserve">基板/错误锁存供电</x:t>
  </x:si>
  <x:si>
    <x:t xml:space="preserve">H9</x:t>
  </x:si>
  <x:si>
    <x:t xml:space="preserve">错误锁存</x:t>
  </x:si>
  <x:si>
    <x:t xml:space="preserve">H10</x:t>
  </x:si>
  <x:si>
    <x:t xml:space="preserve">TSAL</x:t>
  </x:si>
  <x:si>
    <x:t xml:space="preserve">1~5V隔离模拟量</x:t>
  </x:si>
  <x:si>
    <x:t xml:space="preserve">来自CN10.9</x:t>
  </x:si>
  <x:si>
    <x:t xml:space="preserve">控制器侧电压传感器输出</x:t>
  </x:si>
  <x:si>
    <x:t xml:space="preserve">H11</x:t>
  </x:si>
  <x:si>
    <x:t xml:space="preserve">H12</x:t>
  </x:si>
  <x:si>
    <x:t xml:space="preserve">约9~12V状态模拟量</x:t>
  </x:si>
  <x:si>
    <x:t xml:space="preserve">来自CN8.4</x:t>
  </x:si>
  <x:si>
    <x:t xml:space="preserve">阈值需实测</x:t>
  </x:si>
  <x:si>
    <x:t xml:space="preserve">约10~12V状态模拟量</x:t>
  </x:si>
  <x:si>
    <x:t xml:space="preserve">来自CN8.5</x:t>
  </x:si>
  <x:si>
    <x:t xml:space="preserve">H13</x:t>
  </x:si>
  <x:si>
    <x:t xml:space="preserve">错误锁存供电</x:t>
  </x:si>
  <x:si>
    <x:t xml:space="preserve">H14</x:t>
  </x:si>
  <x:si>
    <x:t xml:space="preserve">低边拉地/高阻</x:t>
  </x:si>
  <x:si>
    <x:t xml:space="preserve">至CN10.5</x:t>
  </x:si>
  <x:si>
    <x:t xml:space="preserve">TSAL绿灯阴极输出</x:t>
  </x:si>
  <x:si>
    <x:t xml:space="preserve">低边闪烁拉地/高阻</x:t>
  </x:si>
  <x:si>
    <x:t xml:space="preserve">至CN10.7</x:t>
  </x:si>
  <x:si>
    <x:t xml:space="preserve">TSAL红灯阴极输出</x:t>
  </x:si>
  <x:si>
    <x:t xml:space="preserve">H15</x:t>
  </x:si>
  <x:si>
    <x:t xml:space="preserve">来自CN10.3</x:t>
  </x:si>
  <x:si>
    <x:t xml:space="preserve">电池侧电压传感器输出</x:t>
  </x:si>
  <x:si>
    <x:t xml:space="preserve">H16</x:t>
  </x:si>
  <x:si>
    <x:t xml:space="preserve">H17</x:t>
  </x:si>
  <x:si>
    <x:t xml:space="preserve">5V高有效状态</x:t>
  </x:si>
  <x:si>
    <x:t xml:space="preserve">经D30与VCU命令OR后驱动K13</x:t>
  </x:si>
  <x:si>
    <x:t xml:space="preserve">IMD硬件错误灯请求</x:t>
  </x:si>
  <x:si>
    <x:t xml:space="preserve">经D32与VCU命令OR后驱动K14</x:t>
  </x:si>
  <x:si>
    <x:t xml:space="preserve">BMS硬件错误灯请求</x:t>
  </x:si>
  <x:si>
    <x:t xml:space="preserve">H18</x:t>
  </x:si>
  <x:si>
    <x:t xml:space="preserve">H19</x:t>
  </x:si>
  <x:si>
    <x:t xml:space="preserve">至CN11.6</x:t>
  </x:si>
  <x:si>
    <x:t xml:space="preserve">故障或掉电应断开</x:t>
  </x:si>
  <x:si>
    <x:t xml:space="preserve">H20</x:t>
  </x:si>
  <x:si>
    <x:t xml:space="preserve">接口</x:t>
  </x:si>
  <x:si>
    <x:t xml:space="preserve">信号</x:t>
  </x:si>
  <x:si>
    <x:t xml:space="preserve">电气类型</x:t>
  </x:si>
  <x:si>
    <x:t xml:space="preserve">有效电平/电流</x:t>
  </x:si>
  <x:si>
    <x:t xml:space="preserve">功能与默认状态</x:t>
  </x:si>
  <x:si>
    <x:t xml:space="preserve">实现/注意事项</x:t>
  </x:si>
  <x:si>
    <x:t xml:space="preserve">CN7.15</x:t>
  </x:si>
  <x:si>
    <x:t xml:space="preserve">R2D_BUZZER_VCU</x:t>
  </x:si>
  <x:si>
    <x:t xml:space="preserve">VCU输出→基板</x:t>
  </x:si>
  <x:si>
    <x:t xml:space="preserve">12V源电流型</x:t>
  </x:si>
  <x:si>
    <x:t xml:space="preserve">高有效，约33mA</x:t>
  </x:si>
  <x:si>
    <x:t xml:space="preserve">高：继电器吸合，R2D蜂鸣器低边接GND并开启；低/开路：输出开路</x:t>
  </x:si>
  <x:si>
    <x:t xml:space="preserve">直接驱动G5Q线圈，使用2–3常开触点</x:t>
  </x:si>
  <x:si>
    <x:t xml:space="preserve">CN7.16</x:t>
  </x:si>
  <x:si>
    <x:t xml:space="preserve">LED_EBS_ERROR_VCU</x:t>
  </x:si>
  <x:si>
    <x:t xml:space="preserve">12V高阻逻辑</x:t>
  </x:si>
  <x:si>
    <x:t xml:space="preserve">高有效，约0.1mA</x:t>
  </x:si>
  <x:si>
    <x:t xml:space="preserve">CN7.17</x:t>
  </x:si>
  <x:si>
    <x:t xml:space="preserve">DI8_VCU</x:t>
  </x:si>
  <x:si>
    <x:t xml:space="preserve">高：继电器吸合，DI8输出12V；低/开路：DI8开路</x:t>
  </x:si>
  <x:si>
    <x:t xml:space="preserve">高电平开启</x:t>
  </x:si>
  <x:si>
    <x:t xml:space="preserve">CN7.18</x:t>
  </x:si>
  <x:si>
    <x:t xml:space="preserve">RUN_VCU</x:t>
  </x:si>
  <x:si>
    <x:t xml:space="preserve">高：继电器吸合，RUN输出12V；低/开路：RUN开路</x:t>
  </x:si>
  <x:si>
    <x:t xml:space="preserve">CN7.19</x:t>
  </x:si>
  <x:si>
    <x:t xml:space="preserve">LED_BMS_ERROR_VCU</x:t>
  </x:si>
  <x:si>
    <x:t xml:space="preserve">高有效</x:t>
  </x:si>
  <x:si>
    <x:t xml:space="preserve">高：与BMS硬件状态OR后点灯</x:t>
  </x:si>
  <x:si>
    <x:t xml:space="preserve">二极管OR</x:t>
  </x:si>
  <x:si>
    <x:t xml:space="preserve">CN7.20</x:t>
  </x:si>
  <x:si>
    <x:t xml:space="preserve">LED_IMD_ERROR_VCU</x:t>
  </x:si>
  <x:si>
    <x:t xml:space="preserve">高：与IMD硬件状态OR后点灯</x:t>
  </x:si>
  <x:si>
    <x:t xml:space="preserve">CN8.1</x:t>
  </x:si>
  <x:si>
    <x:t xml:space="preserve">CN8.2</x:t>
  </x:si>
  <x:si>
    <x:t xml:space="preserve">CN8.3</x:t>
  </x:si>
  <x:si>
    <x:t xml:space="preserve">CN8.7</x:t>
  </x:si>
  <x:si>
    <x:t xml:space="preserve">EMERGENCY_BUZZER_VCU</x:t>
  </x:si>
  <x:si>
    <x:t xml:space="preserve">12V灌电流型</x:t>
  </x:si>
  <x:si>
    <x:t xml:space="preserve">低有效，约33mA</x:t>
  </x:si>
  <x:si>
    <x:t xml:space="preserve">低：继电器吸合，紧急蜂鸣器低边接GND并开启；高/开路：输出开路</x:t>
  </x:si>
  <x:si>
    <x:t xml:space="preserve">低电平开启</x:t>
  </x:si>
  <x:si>
    <x:t xml:space="preserve">CN8.8</x:t>
  </x:si>
  <x:si>
    <x:t xml:space="preserve">LED_BRAKE_VCU</x:t>
  </x:si>
  <x:si>
    <x:t xml:space="preserve">低：继电器吸合，制动灯输出12V；高/开路：输出开路</x:t>
  </x:si>
  <x:si>
    <x:t xml:space="preserve">CN8.9</x:t>
  </x:si>
  <x:si>
    <x:t xml:space="preserve">ASSI_Y_VCU</x:t>
  </x:si>
  <x:si>
    <x:t xml:space="preserve">低：继电器吸合，黄色ASSI输出12V；高/开路：输出开路</x:t>
  </x:si>
  <x:si>
    <x:t xml:space="preserve">CN8.10</x:t>
  </x:si>
  <x:si>
    <x:t xml:space="preserve">ASSI_B_VCU</x:t>
  </x:si>
  <x:si>
    <x:t xml:space="preserve">低：继电器吸合，蓝色ASSI输出12V；高/开路：输出开路</x:t>
  </x:si>
  <x:si>
    <x:t xml:space="preserve">CN8.11</x:t>
  </x:si>
  <x:si>
    <x:t xml:space="preserve">SHUTDOWN_END</x:t>
  </x:si>
  <x:si>
    <x:t xml:space="preserve">基板输出→VCU</x:t>
  </x:si>
  <x:si>
    <x:t xml:space="preserve">12V高边输出</x:t>
  </x:si>
  <x:si>
    <x:t xml:space="preserve">24V输入有效时高</x:t>
  </x:si>
  <x:si>
    <x:t xml:space="preserve">SHUTDOWNE_IN=24V→约12V；无效→0V</x:t>
  </x:si>
  <x:si>
    <x:t xml:space="preserve">负载电流待冻结</x:t>
  </x:si>
  <x:si>
    <x:t xml:space="preserve">CN8.12</x:t>
  </x:si>
  <x:si>
    <x:t xml:space="preserve">SHUTDOWN_START</x:t>
  </x:si>
  <x:si>
    <x:t xml:space="preserve">SHUTDOWNS_IN=24V→约12V；无效→0V</x:t>
  </x:si>
  <x:si>
    <x:t xml:space="preserve">CN8.16</x:t>
  </x:si>
  <x:si>
    <x:t xml:space="preserve">ASMS_VCU</x:t>
  </x:si>
  <x:si>
    <x:t xml:space="preserve">ASMS有效时高</x:t>
  </x:si>
  <x:si>
    <x:t xml:space="preserve">ASMS=24V→约12V；无效→0V</x:t>
  </x:si>
  <x:si>
    <x:t xml:space="preserve">光耦与输出共地</x:t>
  </x:si>
  <x:si>
    <x:t xml:space="preserve">CN11.1</x:t>
  </x:si>
  <x:si>
    <x:t xml:space="preserve">VCU_WDI</x:t>
  </x:si>
  <x:si>
    <x:t xml:space="preserve">VCU输出→EBS</x:t>
  </x:si>
  <x:si>
    <x:t xml:space="preserve">持续10 Hz翻转有效</x:t>
  </x:si>
  <x:si>
    <x:t xml:space="preserve">停止/异常应触发EBS安全动作</x:t>
  </x:si>
  <x:si>
    <x:t xml:space="preserve">基板不调理，直接转接至EBS</x:t>
  </x:si>
  <x:si>
    <x:t xml:space="preserve">CN11.3</x:t>
  </x:si>
  <x:si>
    <x:t xml:space="preserve">12V输入</x:t>
  </x:si>
  <x:si>
    <x:t xml:space="preserve">高有效，约7.3mA</x:t>
  </x:si>
  <x:si>
    <x:t xml:space="preserve">高→内部约4.7V EBS_TRIG</x:t>
  </x:si>
  <x:si>
    <x:t xml:space="preserve">CN11.4</x:t>
  </x:si>
  <x:si>
    <x:t xml:space="preserve">EBS_CHECK</x:t>
  </x:si>
  <x:si>
    <x:t xml:space="preserve">EBS输出→VCU</x:t>
  </x:si>
  <x:si>
    <x:t xml:space="preserve">极性待确认</x:t>
  </x:si>
  <x:si>
    <x:t xml:space="preserve">台架确认</x:t>
  </x:si>
  <x:si>
    <x:t xml:space="preserve">CN11.7</x:t>
  </x:si>
  <x:si>
    <x:t xml:space="preserve">VCU_FB</x:t>
  </x:si>
  <x:si>
    <x:t xml:space="preserve">EBS继电器/状态反馈</x:t>
  </x:si>
  <x:si>
    <x:t xml:space="preserve">这些项目不一定是连接错误，但在接口额定、软件定义或投产冻结前必须关闭。</x:t>
  </x:si>
  <x:si>
    <x:t xml:space="preserve">编号</x:t>
  </x:si>
  <x:si>
    <x:t xml:space="preserve">优先级</x:t>
  </x:si>
  <x:si>
    <x:t xml:space="preserve">事项</x:t>
  </x:si>
  <x:si>
    <x:t xml:space="preserve">网表/设计依据</x:t>
  </x:si>
  <x:si>
    <x:t xml:space="preserve">关闭动作</x:t>
  </x:si>
  <x:si>
    <x:t xml:space="preserve">官方手册用于确认器件结构和额定参数；BOM中R+O器件仍应由采购归档对应供应商的可追溯原厂PDF。</x:t>
  </x:si>
  <x:si>
    <x:t xml:space="preserve">类型</x:t>
  </x:si>
  <x:si>
    <x:t xml:space="preserve">文件/器件</x:t>
  </x:si>
  <x:si>
    <x:t xml:space="preserve">确认内容</x:t>
  </x:si>
  <x:si>
    <x:t xml:space="preserve">来源URL/文件</x:t>
  </x:si>
  <x:si>
    <x:t xml:space="preserve">适用器件/接口</x:t>
  </x:si>
  <x:si>
    <x:t xml:space="preserve">设计文件</x:t>
  </x:si>
  <x:si>
    <x:t xml:space="preserve">用户上传</x:t>
  </x:si>
  <x:si>
    <x:t xml:space="preserve">BOM_Board1_Schematic1_2026-07-20(6).xlsx</x:t>
  </x:si>
  <x:si>
    <x:t xml:space="preserve">器件型号、封装、立创编号</x:t>
  </x:si>
  <x:si>
    <x:t xml:space="preserve">封装/型号依据</x:t>
  </x:si>
  <x:si>
    <x:t xml:space="preserve">对照文件</x:t>
  </x:si>
  <x:si>
    <x:t xml:space="preserve">硬件电路接口(1).xlsx</x:t>
  </x:si>
  <x:si>
    <x:t xml:space="preserve">板卡功能、电压和既有系统定义</x:t>
  </x:si>
  <x:si>
    <x:t xml:space="preserve">仅用于功能说明，连接仍以最新网表为准</x:t>
  </x:si>
  <x:si>
    <x:t xml:space="preserve">最新版</x:t>
  </x:si>
  <x:si>
    <x:t xml:space="preserve">官方手册</x:t>
  </x:si>
  <x:si>
    <x:t xml:space="preserve">OMRON G5Q</x:t>
  </x:si>
  <x:si>
    <x:t xml:space="preserve">SPDT底视图：1/5为线圈，2为COM，3为NO，4为NC；12V SPDT线圈约33.3mA</x:t>
  </x:si>
  <x:si>
    <x:t xml:space="preserve">https://omronfs.omron.com/en_US/ecb/products/pdf/en-g5q.pdf</x:t>
  </x:si>
  <x:si>
    <x:t xml:space="preserve">K2/K5/K6/K7/K8/K9/K11/K12/K13/K14</x:t>
  </x:si>
  <x:si>
    <x:t xml:space="preserve">本次按官方内部连接图修正全部触点逻辑</x:t>
  </x:si>
  <x:si>
    <x:t xml:space="preserve">HONGFA HF115F</x:t>
  </x:si>
  <x:si>
    <x:t xml:space="preserve">/024为24V线圈、2Z为双转换触点</x:t>
  </x:si>
  <x:si>
    <x:t xml:space="preserve">https://www.hongfa.com/Product/power-relay/HF115F</x:t>
  </x:si>
  <x:si>
    <x:t xml:space="preserve">RELAY1</x:t>
  </x:si>
  <x:si>
    <x:t xml:space="preserve">LITEON LTV-2X7-G</x:t>
  </x:si>
  <x:si>
    <x:t xml:space="preserve">LTV-217系列光耦，输入LED/输出光电三极管，CTR在IF=5mA条件定义</x:t>
  </x:si>
  <x:si>
    <x:t xml:space="preserve">https://optoelectronics.liteon.com/upload/download/DS70-2009-0016/LTV-2X7-G%20sereis%20Rev.H.PDF</x:t>
  </x:si>
  <x:si>
    <x:t xml:space="preserve">U15/U19/U20</x:t>
  </x:si>
  <x:si>
    <x:t xml:space="preserve">AOS AOD4185</x:t>
  </x:si>
  <x:si>
    <x:t xml:space="preserve">P沟道40V；RDS(on)&lt;20mΩ@VGS=-4.5V；TO-252 Gate/Drain/Source定义</x:t>
  </x:si>
  <x:si>
    <x:t xml:space="preserve">https://www.aosmd.com/res/datasheets/AOD4185.pdf</x:t>
  </x:si>
  <x:si>
    <x:t xml:space="preserve">Q2/Q3/Q4</x:t>
  </x:si>
  <x:si>
    <x:t xml:space="preserve">onsemi 2N7002K</x:t>
  </x:si>
  <x:si>
    <x:t xml:space="preserve">N沟道60V；低边开关；1=Gate、2=Source、3=Drain；RDS(on)最大2.5Ω@4.5V</x:t>
  </x:si>
  <x:si>
    <x:t xml:space="preserve">https://www.onsemi.com/download/data-sheet/pdf/2n7002k-d.pdf</x:t>
  </x:si>
  <x:si>
    <x:t xml:space="preserve">U16/U17/U18；BOM品牌需按供应商原厂资料复核</x:t>
  </x:si>
  <x:si>
    <x:t xml:space="preserve">Diodes BZT52C10S</x:t>
  </x:si>
  <x:si>
    <x:t xml:space="preserve">10V、200mW、SOD-323稳压管系列参数参考</x:t>
  </x:si>
  <x:si>
    <x:t xml:space="preserve">https://www.diodes.com/part/view/BZT52C10S</x:t>
  </x:si>
  <x:si>
    <x:t xml:space="preserve">D36/D38/D40；BOM品牌为R+O</x:t>
  </x:si>
  <x:si>
    <x:t xml:space="preserve">Diodes BZT52C4V7S</x:t>
  </x:si>
  <x:si>
    <x:t xml:space="preserve">4.7V、200mW、SOD-323稳压管系列参数参考</x:t>
  </x:si>
  <x:si>
    <x:t xml:space="preserve">https://www.diodes.com/part/view/BZT52C4V7S</x:t>
  </x:si>
  <x:si>
    <x:t xml:space="preserve">Panasonic ERJP08J242V</x:t>
  </x:si>
  <x:si>
    <x:t xml:space="preserve">2.4kΩ、1206、0.66W</x:t>
  </x:si>
  <x:si>
    <x:t xml:space="preserve">https://industrial.panasonic.com/ww/products/pt/small-and-high-power-chip-resistors/models/ERJP08J242V</x:t>
  </x:si>
  <x:si>
    <x:t xml:space="preserve">R22/R23/R28/R29/R32/R33</x:t>
  </x:si>
</x:sst>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1F1F1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name val="Carlito"/>
    </x:font>
    <x:font>
      <x:sz val="9"/>
      <x:name val="宋体"/>
    </x:font>
    <x:font>
      <x:sz val="11"/>
      <x:name val="宋体"/>
    </x:font>
    <x:font>
      <x:sz val="11"/>
      <x:name val="Carlito"/>
    </x:font>
    <x:font>
      <x:sz val="409"/>
      <x:color theme="1"/>
      <x:name val="Carlito"/>
    </x:font>
    <x:font>
      <x:sz val="409"/>
      <x:color theme="1"/>
      <x:name val="宋体"/>
    </x:font>
    <x:font>
      <x:sz val="11"/>
      <x:name val="宋体"/>
    </x:font>
  </x:fonts>
  <x:fills count="2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E7E6E6"/>
      </x:patternFill>
    </x:fill>
    <x:fill>
      <x:patternFill patternType="solid">
        <x:fgColor rgb="FFF8CBA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8CBA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E7E6E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E2F0D9"/>
      </x:patternFill>
    </x:fill>
  </x:fills>
  <x:borders count="9">
    <x:border/>
    <x:border/>
    <x:border/>
    <x:border/>
    <x:border/>
    <x:border/>
    <x:border/>
    <x:border/>
    <x:border/>
  </x:borders>
  <x:cellStyleXfs count="2">
    <x:xf numFmtId="0" fontId="0" fillId="0" borderId="0"/>
    <x:xf numFmtId="0" fontId="5" fillId="0" borderId="0"/>
  </x:cellStyleXfs>
  <x:cellXfs count="67">
    <x:xf numFmtId="0" fontId="0" fillId="0" borderId="0" xfId="0"/>
    <x:xf numFmtId="0" fontId="3" fillId="4" borderId="1" xfId="1" applyFont="1" applyFill="1" applyBorder="1" applyAlignment="1">
      <x:alignment horizontal="center" vertical="center" wrapText="1"/>
    </x:xf>
    <x:xf numFmtId="0" fontId="3" fillId="4" borderId="2" xfId="1" applyFont="1" applyFill="1" applyBorder="1" applyAlignment="1">
      <x:alignment horizontal="center" vertical="center" wrapText="1"/>
    </x:xf>
    <x:xf numFmtId="0" fontId="3" fillId="4" borderId="3" xfId="1" applyFont="1" applyFill="1" applyBorder="1" applyAlignment="1">
      <x:alignment horizontal="center" vertical="center" wrapText="1"/>
    </x:xf>
    <x:xf numFmtId="0" fontId="0" fillId="0" borderId="4" xfId="1" applyFont="1" applyBorder="1"/>
    <x:xf numFmtId="0" fontId="0" fillId="0" borderId="0" xfId="1" applyFont="1"/>
    <x:xf numFmtId="0" fontId="0" fillId="0" borderId="5" xfId="1" applyFont="1" applyBorder="1"/>
    <x:xf numFmtId="0" fontId="0" fillId="0" borderId="6" xfId="1" applyFont="1" applyBorder="1"/>
    <x:xf numFmtId="0" fontId="0" fillId="0" borderId="7" xfId="1" applyFont="1" applyBorder="1"/>
    <x:xf numFmtId="0" fontId="0" fillId="0" borderId="8" xfId="1" applyFont="1" applyBorder="1"/>
    <x:xf numFmtId="0" fontId="0" fillId="0" borderId="4" xfId="1" applyFont="1" applyBorder="1" applyAlignment="1">
      <x:alignment wrapText="1"/>
    </x:xf>
    <x:xf numFmtId="0" fontId="0" fillId="0" borderId="0" xfId="1" applyFont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0" fillId="0" borderId="4" xfId="1" applyFont="1" applyBorder="1" applyAlignment="1">
      <x:alignment vertical="top" wrapText="1"/>
    </x:xf>
    <x:xf numFmtId="0" fontId="0" fillId="0" borderId="0" xfId="1" applyFont="1" applyAlignment="1">
      <x:alignment vertical="top" wrapText="1"/>
    </x:xf>
    <x:xf numFmtId="0" fontId="0" fillId="0" borderId="5" xfId="1" applyFont="1" applyBorder="1" applyAlignment="1">
      <x:alignment vertical="top" wrapText="1"/>
    </x:xf>
    <x:xf numFmtId="0" fontId="0" fillId="0" borderId="6" xfId="1" applyFont="1" applyBorder="1" applyAlignment="1">
      <x:alignment vertical="top" wrapText="1"/>
    </x:xf>
    <x:xf numFmtId="0" fontId="0" fillId="0" borderId="7" xfId="1" applyFont="1" applyBorder="1" applyAlignment="1">
      <x:alignment vertical="top" wrapText="1"/>
    </x:xf>
    <x:xf numFmtId="0" fontId="0" fillId="0" borderId="8" xfId="1" applyFont="1" applyBorder="1" applyAlignment="1">
      <x:alignment vertical="top" wrapText="1"/>
    </x:xf>
    <x:xf numFmtId="0" fontId="4" fillId="5" borderId="0" xfId="1" applyFont="1" applyFill="1" applyAlignment="1">
      <x:alignment horizontal="center" vertical="top" wrapText="1"/>
    </x:xf>
    <x:xf numFmtId="0" fontId="4" fillId="6" borderId="0" xfId="1" applyFont="1" applyFill="1" applyAlignment="1">
      <x:alignment vertical="top" wrapText="1"/>
    </x:xf>
    <x:xf numFmtId="0" fontId="4" fillId="6" borderId="0" xfId="1" applyFont="1" applyFill="1" applyAlignment="1">
      <x:alignment horizontal="center" vertical="top" wrapText="1"/>
    </x:xf>
    <x:xf numFmtId="0" fontId="4" fillId="7" borderId="0" xfId="1" applyFont="1" applyFill="1" applyAlignment="1">
      <x:alignment horizontal="center" vertical="top" wrapText="1"/>
    </x:xf>
    <x:xf numFmtId="0" fontId="4" fillId="8" borderId="0" xfId="1" applyFont="1" applyFill="1" applyAlignment="1">
      <x:alignment horizontal="center" vertical="top" wrapText="1"/>
    </x:xf>
    <x:xf numFmtId="0" fontId="4" fillId="9" borderId="0" xfId="1" applyFont="1" applyFill="1" applyAlignment="1">
      <x:alignment vertical="top" wrapText="1"/>
    </x:xf>
    <x:xf numFmtId="0" fontId="4" fillId="9" borderId="0" xfId="1" applyFont="1" applyFill="1" applyAlignment="1">
      <x:alignment horizontal="center" vertical="top" wrapText="1"/>
    </x:xf>
    <x:xf numFmtId="0" fontId="4" fillId="5" borderId="7" xfId="1" applyFont="1" applyFill="1" applyBorder="1" applyAlignment="1">
      <x:alignment horizontal="center" vertical="top" wrapText="1"/>
    </x:xf>
    <x:xf numFmtId="0" fontId="4" fillId="5" borderId="5" xfId="1" applyFont="1" applyFill="1" applyBorder="1" applyAlignment="1">
      <x:alignment horizontal="center" vertical="top" wrapText="1"/>
    </x:xf>
    <x:xf numFmtId="0" fontId="4" fillId="6" borderId="5" xfId="1" applyFont="1" applyFill="1" applyBorder="1" applyAlignment="1">
      <x:alignment horizontal="center" vertical="top" wrapText="1"/>
    </x:xf>
    <x:xf numFmtId="0" fontId="4" fillId="8" borderId="5" xfId="1" applyFont="1" applyFill="1" applyBorder="1" applyAlignment="1">
      <x:alignment horizontal="center" vertical="top" wrapText="1"/>
    </x:xf>
    <x:xf numFmtId="0" fontId="4" fillId="5" borderId="8" xfId="1" applyFont="1" applyFill="1" applyBorder="1" applyAlignment="1">
      <x:alignment horizontal="center" vertical="top" wrapText="1"/>
    </x:xf>
    <x:xf numFmtId="0" fontId="4" fillId="10" borderId="0" xfId="1" applyFont="1" applyFill="1" applyAlignment="1">
      <x:alignment horizontal="center" vertical="top" wrapText="1"/>
    </x:xf>
    <x:xf numFmtId="0" fontId="4" fillId="11" borderId="0" xfId="1" applyFont="1" applyFill="1" applyAlignment="1">
      <x:alignment horizontal="center" vertical="top" wrapText="1"/>
    </x:xf>
    <x:xf numFmtId="0" fontId="4" fillId="12" borderId="0" xfId="1" applyFont="1" applyFill="1" applyAlignment="1">
      <x:alignment horizontal="center" vertical="top" wrapText="1"/>
    </x:xf>
    <x:xf numFmtId="0" fontId="4" fillId="11" borderId="0" xfId="1" applyFont="1" applyFill="1" applyAlignment="1">
      <x:alignment vertical="top" wrapText="1"/>
    </x:xf>
    <x:xf numFmtId="0" fontId="8" fillId="0" borderId="0" xfId="1" applyFont="1" applyAlignment="1">
      <x:alignment vertical="top" wrapText="1"/>
    </x:xf>
    <x:xf numFmtId="0" fontId="1" fillId="2" borderId="0" xfId="1" applyFont="1" applyFill="1" applyAlignment="1">
      <x:alignment horizontal="center" vertical="center"/>
    </x:xf>
    <x:xf numFmtId="0" fontId="2" fillId="3" borderId="0" xfId="1" applyFont="1" applyFill="1" applyAlignment="1">
      <x:alignment vertical="center" wrapText="1"/>
    </x:xf>
    <x:xf numFmtId="0" fontId="4" fillId="13" borderId="0" xfId="0" applyNumberFormat="1" applyFont="1" applyFill="1" applyBorder="1" applyAlignment="1">
      <x:alignment vertical="top" wrapText="1"/>
    </x:xf>
    <x:xf numFmtId="0" fontId="4" fillId="14" borderId="0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4" fillId="14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6" borderId="0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horizontal="center" vertical="top" wrapText="1"/>
    </x:xf>
    <x:xf numFmtId="0" fontId="4" fillId="15" borderId="0" xfId="0" applyNumberFormat="1" applyFont="1" applyFill="1" applyBorder="1" applyAlignment="1">
      <x:alignment horizontal="center" vertical="top" wrapText="1"/>
    </x:xf>
    <x:xf numFmtId="0" fontId="4" fillId="16" borderId="0" xfId="0" applyNumberFormat="1" applyFont="1" applyFill="1" applyBorder="1" applyAlignment="1">
      <x:alignment horizontal="center" vertical="top" wrapText="1"/>
    </x:xf>
    <x:xf numFmtId="0" fontId="4" fillId="17" borderId="0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 applyAlignment="1">
      <x:alignment vertical="top" wrapText="1"/>
    </x:xf>
    <x:xf numFmtId="0" fontId="4" fillId="15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wrapText="1"/>
    </x:xf>
    <x:xf numFmtId="0" fontId="4" fillId="18" borderId="0" xfId="0" applyNumberFormat="1" applyFont="1" applyFill="1" applyBorder="1" applyAlignment="1">
      <x:alignment horizontal="center" vertical="top" wrapText="1"/>
    </x:xf>
    <x:xf numFmtId="0" fontId="4" fillId="19" borderId="0" xfId="0" applyNumberFormat="1" applyFont="1" applyFill="1" applyBorder="1" applyAlignment="1">
      <x:alignment horizontal="center" vertical="top" wrapText="1"/>
    </x:xf>
    <x:xf numFmtId="0" fontId="4" fillId="20" borderId="0" xfId="0" applyNumberFormat="1" applyFont="1" applyFill="1" applyBorder="1" applyAlignment="1">
      <x:alignment horizontal="center" vertical="top" wrapText="1"/>
    </x:xf>
    <x:xf numFmtId="0" fontId="4" fillId="19" borderId="0" xfId="0" applyNumberFormat="1" applyFont="1" applyFill="1" applyBorder="1" applyAlignment="1">
      <x:alignment vertical="top" wrapText="1"/>
    </x:xf>
    <x:xf numFmtId="0" fontId="4" fillId="18" borderId="0" xfId="0" applyNumberFormat="1" applyFont="1" applyFill="1" applyBorder="1" applyAlignment="1">
      <x:alignment vertical="top" wrapText="1"/>
    </x:xf>
    <x:xf numFmtId="0" fontId="0" fillId="19" borderId="0" xfId="0" applyNumberFormat="1" applyFont="1" applyFill="1" applyBorder="1" applyAlignment="1">
      <x:alignment vertical="top" wrapText="1"/>
    </x:xf>
    <x:xf numFmtId="0" fontId="4" fillId="21" borderId="0" xfId="0" applyNumberFormat="1" applyFont="1" applyFill="1" applyBorder="1" applyAlignment="1">
      <x:alignment horizontal="center" vertical="top" wrapText="1"/>
    </x:xf>
    <x:xf numFmtId="0" fontId="4" fillId="21" borderId="0" xfId="0" applyNumberFormat="1" applyFont="1" applyFill="1" applyBorder="1" applyAlignment="1">
      <x:alignment vertical="top" wrapText="1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83fd232ed240e4" /><Relationship Type="http://schemas.openxmlformats.org/officeDocument/2006/relationships/theme" Target="/xl/theme/theme1.xml" Id="R533035210af640cc" /><Relationship Type="http://schemas.openxmlformats.org/officeDocument/2006/relationships/sharedStrings" Target="/xl/sharedStrings.xml" Id="Rbdf5da49581a459e" /><Relationship Type="http://schemas.openxmlformats.org/officeDocument/2006/relationships/worksheet" Target="/xl/worksheets/sheet1.xml" Id="Rdfe5a00956084410" /><Relationship Type="http://schemas.openxmlformats.org/officeDocument/2006/relationships/worksheet" Target="/xl/worksheets/sheet2.xml" Id="Re7799cd63ee94124" /><Relationship Type="http://schemas.openxmlformats.org/officeDocument/2006/relationships/worksheet" Target="/xl/worksheets/sheet3.xml" Id="Rb46cce233ce34683" /><Relationship Type="http://schemas.openxmlformats.org/officeDocument/2006/relationships/worksheet" Target="/xl/worksheets/sheet4.xml" Id="Rec99d2cf225240af" /><Relationship Type="http://schemas.openxmlformats.org/officeDocument/2006/relationships/worksheet" Target="/xl/worksheets/sheet5.xml" Id="R4489339206104276" /><Relationship Type="http://schemas.openxmlformats.org/officeDocument/2006/relationships/worksheet" Target="/xl/worksheets/sheet6.xml" Id="Rd6694bb6d3aa45a5" /></Relationships>
</file>

<file path=xl/tables/table1.xml><?xml version="1.0" encoding="utf-8"?>
<x:table xmlns:x="http://schemas.openxmlformats.org/spreadsheetml/2006/main" id="1" name="ExternalInterfaceV5" displayName="ExternalInterfaceV5" ref="A4:M76">
  <x:tableColumns count="13">
    <x:tableColumn id="1" name="连接器"/>
    <x:tableColumn id="2" name="针脚"/>
    <x:tableColumn id="3" name="信号名"/>
    <x:tableColumn id="4" name="方向"/>
    <x:tableColumn id="5" name="类别/结构"/>
    <x:tableColumn id="6" name="标称电压/电流"/>
    <x:tableColumn id="7" name="有效逻辑/工作条件"/>
    <x:tableColumn id="8" name="无效/掉电/断线状态"/>
    <x:tableColumn id="9" name="内部连接与处理"/>
    <x:tableColumn id="10" name="外部接线/负载要求"/>
    <x:tableColumn id="11" name="最新网表节点"/>
    <x:tableColumn id="12" name="状态"/>
    <x:tableColumn id="13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oardHeadersV5" displayName="BoardHeadersV5" ref="A4:J51">
  <x:tableColumns count="10">
    <x:tableColumn id="1" name="排针"/>
    <x:tableColumn id="2" name="针脚"/>
    <x:tableColumn id="3" name="信号名"/>
    <x:tableColumn id="4" name="所属板卡"/>
    <x:tableColumn id="5" name="方向（相对板卡）"/>
    <x:tableColumn id="6" name="标称电平/类型"/>
    <x:tableColumn id="7" name="基板连接来源/去向"/>
    <x:tableColumn id="8" name="最新网表节点"/>
    <x:tableColumn id="9" name="定义与用途"/>
    <x:tableColumn id="10" name="状态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CUIOV5" displayName="VCUIOV5" ref="A4:G24">
  <x:tableColumns count="7">
    <x:tableColumn id="1" name="接口"/>
    <x:tableColumn id="2" name="信号"/>
    <x:tableColumn id="3" name="方向"/>
    <x:tableColumn id="4" name="电气类型"/>
    <x:tableColumn id="5" name="有效电平/电流"/>
    <x:tableColumn id="6" name="功能与默认状态"/>
    <x:tableColumn id="7" name="实现/注意事项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nterfaceIssuesV5" displayName="InterfaceIssuesV5" ref="A4:G13">
  <x:tableColumns count="7">
    <x:tableColumn id="1" name="编号"/>
    <x:tableColumn id="2" name="优先级"/>
    <x:tableColumn id="3" name="事项"/>
    <x:tableColumn id="4" name="网表/设计依据"/>
    <x:tableColumn id="5" name="风险"/>
    <x:tableColumn id="6" name="关闭动作"/>
    <x:tableColumn id="7" name="状态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sV5" displayName="SourcesV5" ref="A4:F15">
  <x:tableColumns count="6">
    <x:tableColumn id="1" name="类型"/>
    <x:tableColumn id="2" name="文件/器件"/>
    <x:tableColumn id="3" name="确认内容"/>
    <x:tableColumn id="4" name="来源URL/文件"/>
    <x:tableColumn id="5" name="适用器件/接口"/>
    <x:tableColumn id="6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e202b35e37246d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319ce882ca14de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63a0bf94483402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b6e9f872c0e45d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5927e91ac8348a1" /></Relationships>
</file>

<file path=xl/worksheets/sheet1.xml><?xml version="1.0" encoding="utf-8"?>
<x:worksheet xmlns:x="http://schemas.openxmlformats.org/spreadsheetml/2006/main">
  <x:sheetFormatPr defaultRowHeight="13.600000381469727"/>
  <x:cols>
    <x:col min="1" max="1" width="22" customWidth="1"/>
    <x:col min="2" max="2" width="35" customWidth="1"/>
    <x:col min="3" max="3" width="22" customWidth="1"/>
    <x:col min="4" max="4" width="35" customWidth="1"/>
    <x:col min="5" max="5" width="22" customWidth="1"/>
    <x:col min="6" max="6" width="35" customWidth="1"/>
    <x:col min="7" max="7" width="22" customWidth="1"/>
    <x:col min="8" max="8" width="35" customWidth="1"/>
  </x:cols>
  <x:sheetData>
    <x:row r="1" ht="24.649999618530273" customHeight="1">
      <x:c r="A1" s="39" t="str">
        <x:v>基板全部接口特性与定义（2026-07-31 v7）</x:v>
      </x:c>
      <x:c r="B1" s="39"/>
      <x:c r="C1" s="39"/>
      <x:c r="D1" s="39"/>
      <x:c r="E1" s="39"/>
      <x:c r="F1" s="39"/>
      <x:c r="G1" s="39"/>
      <x:c r="H1" s="39"/>
    </x:row>
    <x:row r="2">
      <x:c r="A2" s="40" t="str">
        <x:v>连接关系以 base.tel（2026-07-31，新版）为准；CN7.11/13/14及CN8.6已由NC改接GND并完成网表复核。器件型号和封装以对应BOM为准。</x:v>
      </x:c>
      <x:c r="B2" s="40"/>
      <x:c r="C2" s="40"/>
      <x:c r="D2" s="40"/>
      <x:c r="E2" s="40"/>
      <x:c r="F2" s="40"/>
      <x:c r="G2" s="40"/>
      <x:c r="H2" s="40"/>
    </x:row>
    <x:row r="4" ht="14.300000190734863">
      <x:c r="A4" s="1" t="s">
        <x:v>0</x:v>
      </x:c>
      <x:c r="B4" s="2" t="s">
        <x:v>1</x:v>
      </x:c>
      <x:c r="C4" s="2" t="s">
        <x:v>0</x:v>
      </x:c>
      <x:c r="D4" s="2" t="s">
        <x:v>1</x:v>
      </x:c>
      <x:c r="E4" s="2" t="s">
        <x:v>0</x:v>
      </x:c>
      <x:c r="F4" s="2" t="s">
        <x:v>1</x:v>
      </x:c>
      <x:c r="G4" s="2" t="s">
        <x:v>0</x:v>
      </x:c>
      <x:c r="H4" s="3" t="s">
        <x:v>1</x:v>
      </x:c>
    </x:row>
    <x:row r="5">
      <x:c r="A5" s="4" t="s">
        <x:v>2</x:v>
      </x:c>
      <x:c r="B5" s="5" t="n">
        <x:f>COUNTA('外部接口CN7-CN12'!A5:A76)</x:f>
        <x:v>72</x:v>
      </x:c>
      <x:c r="C5" s="5" t="s">
        <x:v>3</x:v>
      </x:c>
      <x:c r="D5" s="5" t="n">
        <x:f>COUNTA('板卡排针H1-H20'!A5:A51)</x:f>
        <x:v>47</x:v>
      </x:c>
      <x:c r="E5" s="5" t="str">
        <x:v>外部NC/预留未接</x:v>
      </x:c>
      <x:c r="F5" s="5" t="n">
        <x:f>COUNTIF('外部接口CN7-CN12'!L5:L76,"NC")</x:f>
        <x:v>5</x:v>
      </x:c>
      <x:c r="G5" s="5" t="s">
        <x:v>4</x:v>
      </x:c>
      <x:c r="H5" s="6" t="n">
        <x:f>COUNTIF('外部接口CN7-CN12'!L5:L76,"悬空")</x:f>
        <x:v>0</x:v>
      </x:c>
    </x:row>
    <x:row r="6">
      <x:c r="A6" s="7" t="s">
        <x:v>5</x:v>
      </x:c>
      <x:c r="B6" s="8" t="n">
        <x:f>COUNTIF('外部接口CN7-CN12'!L5:L76,"正常")</x:f>
        <x:v>44</x:v>
      </x:c>
      <x:c r="C6" s="8" t="s">
        <x:v>6</x:v>
      </x:c>
      <x:c r="D6" s="8" t="n">
        <x:f>B5-B6-F5-H5</x:f>
        <x:v>23</x:v>
      </x:c>
      <x:c r="E6" s="8" t="s">
        <x:v>7</x:v>
      </x:c>
      <x:c r="F6" s="8">
        <x:v>3</x:v>
      </x:c>
      <x:c r="G6" s="8" t="s">
        <x:v>8</x:v>
      </x:c>
      <x:c r="H6" s="9">
        <x:v>3</x:v>
      </x:c>
    </x:row>
    <x:row r="8" ht="14.300000190734863">
      <x:c r="A8" s="1" t="s">
        <x:v>9</x:v>
      </x:c>
      <x:c r="B8" s="2" t="s">
        <x:v>10</x:v>
      </x:c>
      <x:c r="C8" s="2" t="s">
        <x:v>9</x:v>
      </x:c>
      <x:c r="D8" s="2" t="s">
        <x:v>10</x:v>
      </x:c>
      <x:c r="E8" s="2" t="s">
        <x:v>11</x:v>
      </x:c>
      <x:c r="F8" s="2" t="s">
        <x:v>10</x:v>
      </x:c>
      <x:c r="G8" s="2" t="s">
        <x:v>11</x:v>
      </x:c>
      <x:c r="H8" s="3" t="s">
        <x:v>10</x:v>
      </x:c>
    </x:row>
    <x:row r="9" ht="40.75">
      <x:c r="A9" s="16" t="s">
        <x:v>12</x:v>
      </x:c>
      <x:c r="B9" s="17" t="s">
        <x:v>13</x:v>
      </x:c>
      <x:c r="C9" s="17" t="s">
        <x:v>14</x:v>
      </x:c>
      <x:c r="D9" s="17" t="s">
        <x:v>15</x:v>
      </x:c>
      <x:c r="E9" s="17" t="s">
        <x:v>16</x:v>
      </x:c>
      <x:c r="F9" s="17" t="str">
        <x:v>K12/K13/K14均使用常开触点拉低外部灯；K12由CN7.16控制，H17.3 R_E_LED为锁存板冗余接口，按设计未使用。</x:v>
      </x:c>
      <x:c r="G9" s="17" t="s">
        <x:v>17</x:v>
      </x:c>
      <x:c r="H9" s="18" t="s">
        <x:v>18</x:v>
      </x:c>
    </x:row>
    <x:row r="10" ht="40.75">
      <x:c r="A10" s="19" t="s">
        <x:v>19</x:v>
      </x:c>
      <x:c r="B10" s="20" t="s">
        <x:v>20</x:v>
      </x:c>
      <x:c r="C10" s="20" t="s">
        <x:v>21</x:v>
      </x:c>
      <x:c r="D10" s="20" t="s">
        <x:v>22</x:v>
      </x:c>
      <x:c r="E10" s="20" t="s">
        <x:v>23</x:v>
      </x:c>
      <x:c r="F10" s="20" t="s">
        <x:v>24</x:v>
      </x:c>
      <x:c r="G10" s="20" t="s">
        <x:v>25</x:v>
      </x:c>
      <x:c r="H10" s="21" t="s">
        <x:v>26</x:v>
      </x:c>
    </x:row>
    <x:row r="12" ht="14.300000190734863">
      <x:c r="A12" s="1" t="s">
        <x:v>27</x:v>
      </x:c>
      <x:c r="B12" s="2" t="s">
        <x:v>28</x:v>
      </x:c>
      <x:c r="C12" s="2" t="s">
        <x:v>29</x:v>
      </x:c>
      <x:c r="D12" s="2" t="s">
        <x:v>30</x:v>
      </x:c>
      <x:c r="E12" s="2" t="s">
        <x:v>31</x:v>
      </x:c>
      <x:c r="F12" s="2" t="s">
        <x:v>32</x:v>
      </x:c>
      <x:c r="G12" s="2" t="s">
        <x:v>33</x:v>
      </x:c>
      <x:c r="H12" s="3" t="s">
        <x:v>34</x:v>
      </x:c>
    </x:row>
    <x:row r="13" ht="26.399999618530273" hidden="0" customHeight="1">
      <x:c r="A13" s="46" t="str">
        <x:v>三路PMOS输出额定电流</x:v>
      </x:c>
      <x:c r="B13" s="46" t="str">
        <x:v>器件选型和逻辑已完成，负载未知</x:v>
      </x:c>
      <x:c r="C13" s="46" t="str">
        <x:v>线宽、温升、连接器和保险无法定额</x:v>
      </x:c>
      <x:c r="D13" s="46" t="str">
        <x:v>持续电流、浪涌电流、负载类型</x:v>
      </x:c>
      <x:c r="E13" s="46" t="str">
        <x:v>系统/硬件</x:v>
      </x:c>
      <x:c r="F13" s="46" t="str">
        <x:v>满载与堵转/浪涌测试</x:v>
      </x:c>
      <x:c r="G13" s="46" t="str">
        <x:v>接口额定表、保险表</x:v>
      </x:c>
      <x:c r="H13" s="46" t="str">
        <x:v>待系统确认</x:v>
      </x:c>
    </x:row>
    <x:row r="14" ht="13.600000381469727" hidden="0" customHeight="1">
      <x:c r="A14" s="46" t="str">
        <x:v>EBS_CHECK/VCU_FB极性</x:v>
      </x:c>
      <x:c r="B14" s="46" t="str">
        <x:v>基板直通EBS板</x:v>
      </x:c>
      <x:c r="C14" s="46" t="str">
        <x:v>VCU软件可能反向解释</x:v>
      </x:c>
      <x:c r="D14" s="46" t="str">
        <x:v>EBS全部工作/故障状态</x:v>
      </x:c>
      <x:c r="E14" s="46" t="str">
        <x:v>EBS/软件</x:v>
      </x:c>
      <x:c r="F14" s="46" t="str">
        <x:v>台架真值表</x:v>
      </x:c>
      <x:c r="G14" s="46" t="str">
        <x:v>VCU I/O表</x:v>
      </x:c>
      <x:c r="H14" s="46" t="str">
        <x:v>待台架确认</x:v>
      </x:c>
    </x:row>
    <x:row r="15" ht="26.399999618530273" hidden="0" customHeight="1">
      <x:c r="A15" s="46" t="str">
        <x:v>AS_PWR参数</x:v>
      </x:c>
      <x:c r="B15" s="46" t="str">
        <x:v>基板无降压器</x:v>
      </x:c>
      <x:c r="C15" s="46" t="str">
        <x:v>OSDC无电源或负载能力不明确</x:v>
      </x:c>
      <x:c r="D15" s="46" t="str">
        <x:v>外部电压、电流、地和保险</x:v>
      </x:c>
      <x:c r="E15" s="46" t="str">
        <x:v>系统</x:v>
      </x:c>
      <x:c r="F15" s="46" t="str">
        <x:v>带载开关测试</x:v>
      </x:c>
      <x:c r="G15" s="46" t="str">
        <x:v>线束图</x:v>
      </x:c>
      <x:c r="H15" s="46" t="str">
        <x:v>待系统确认</x:v>
      </x:c>
    </x:row>
    <x:row r="16" ht="26.399999618530273" hidden="0" customHeight="1">
      <x:c r="A16" s="46"/>
      <x:c r="B16" s="46"/>
      <x:c r="C16" s="46"/>
      <x:c r="D16" s="46"/>
      <x:c r="E16" s="46"/>
      <x:c r="F16" s="46"/>
      <x:c r="G16" s="46"/>
      <x:c r="H16" s="46"/>
    </x:row>
    <x:row r="17" ht="32" hidden="0" customHeight="1">
      <x:c r="A17"/>
      <x:c r="B17"/>
      <x:c r="C17"/>
      <x:c r="D17"/>
      <x:c r="E17"/>
      <x:c r="F17"/>
      <x:c r="G17"/>
      <x:c r="H17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600000381469727"/>
  <x:cols>
    <x:col min="1" max="1" width="9" customWidth="1"/>
    <x:col min="2" max="2" width="7" customWidth="1"/>
    <x:col min="3" max="3" width="27" customWidth="1"/>
    <x:col min="4" max="4" width="16" customWidth="1"/>
    <x:col min="5" max="6" width="25" customWidth="1"/>
    <x:col min="7" max="8" width="42" customWidth="1"/>
    <x:col min="9" max="9" width="48" customWidth="1"/>
    <x:col min="10" max="11" width="45" customWidth="1"/>
    <x:col min="12" max="12" width="15" customWidth="1"/>
    <x:col min="13" max="13" width="38" customWidth="1"/>
  </x:cols>
  <x:sheetData>
    <x:row r="1" ht="21.100000381469727">
      <x:c r="A1" s="39" t="str">
        <x:v>外部连接器 CN7–CN12 全部接口特性与定义（v7）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</x:row>
    <x:row r="2">
      <x:c r="A2" s="40" t="str">
        <x:v>连接关系已同步至 base.tel（2026-07-31，新版）；CN7.11/13/14及CN8.6已由NC改接GND并完成网表复核。G5Q：2为COM、3为NO、4为NC；继电器释放时输出开路。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</x:row>
    <x:row r="4" ht="14.300000190734863">
      <x:c r="A4" s="1" t="s">
        <x:v>35</x:v>
      </x:c>
      <x:c r="B4" s="2" t="s">
        <x:v>36</x:v>
      </x:c>
      <x:c r="C4" s="2" t="s">
        <x:v>37</x:v>
      </x:c>
      <x:c r="D4" s="2" t="s">
        <x:v>38</x:v>
      </x:c>
      <x:c r="E4" s="2" t="s">
        <x:v>39</x:v>
      </x:c>
      <x:c r="F4" s="2" t="s">
        <x:v>40</x:v>
      </x:c>
      <x:c r="G4" s="2" t="s">
        <x:v>41</x:v>
      </x:c>
      <x:c r="H4" s="2" t="s">
        <x:v>42</x:v>
      </x:c>
      <x:c r="I4" s="2" t="s">
        <x:v>43</x:v>
      </x:c>
      <x:c r="J4" s="2" t="s">
        <x:v>44</x:v>
      </x:c>
      <x:c r="K4" s="2" t="s">
        <x:v>45</x:v>
      </x:c>
      <x:c r="L4" s="2" t="s">
        <x:v>34</x:v>
      </x:c>
      <x:c r="M4" s="3" t="s">
        <x:v>46</x:v>
      </x:c>
    </x:row>
    <x:row r="5" ht="27.200000762939453">
      <x:c r="A5" s="16" t="s">
        <x:v>47</x:v>
      </x:c>
      <x:c r="B5" s="17">
        <x:v>1</x:v>
      </x:c>
      <x:c r="C5" s="17" t="str">
        <x:v>LED_IMD_ERROR</x:v>
      </x:c>
      <x:c r="D5" s="17" t="s">
        <x:v>48</x:v>
      </x:c>
      <x:c r="E5" s="17" t="s">
        <x:v>49</x:v>
      </x:c>
      <x:c r="F5" s="17" t="s">
        <x:v>50</x:v>
      </x:c>
      <x:c r="G5" s="17" t="s">
        <x:v>51</x:v>
      </x:c>
      <x:c r="H5" s="17" t="s">
        <x:v>52</x:v>
      </x:c>
      <x:c r="I5" s="17" t="s">
        <x:v>53</x:v>
      </x:c>
      <x:c r="J5" s="17" t="s">
        <x:v>54</x:v>
      </x:c>
      <x:c r="K5" s="17" t="str">
        <x:v>CN7.1 / K13.3</x:v>
      </x:c>
      <x:c r="L5" s="34" t="s">
        <x:v>55</x:v>
      </x:c>
      <x:c r="M5" s="18" t="s">
        <x:v>56</x:v>
      </x:c>
    </x:row>
    <x:row r="6" ht="27.200000762939453">
      <x:c r="A6" s="16" t="s">
        <x:v>47</x:v>
      </x:c>
      <x:c r="B6" s="17">
        <x:v>2</x:v>
      </x:c>
      <x:c r="C6" s="17" t="str">
        <x:v>LED_BMS_ERROR</x:v>
      </x:c>
      <x:c r="D6" s="17" t="s">
        <x:v>48</x:v>
      </x:c>
      <x:c r="E6" s="17" t="s">
        <x:v>49</x:v>
      </x:c>
      <x:c r="F6" s="17" t="s">
        <x:v>50</x:v>
      </x:c>
      <x:c r="G6" s="17" t="s">
        <x:v>57</x:v>
      </x:c>
      <x:c r="H6" s="17" t="s">
        <x:v>58</x:v>
      </x:c>
      <x:c r="I6" s="17" t="s">
        <x:v>59</x:v>
      </x:c>
      <x:c r="J6" s="17" t="s">
        <x:v>60</x:v>
      </x:c>
      <x:c r="K6" s="17" t="str">
        <x:v>CN7.2 / K14.3</x:v>
      </x:c>
      <x:c r="L6" s="34" t="s">
        <x:v>55</x:v>
      </x:c>
      <x:c r="M6" s="18"/>
    </x:row>
    <x:row r="7" ht="27.200000762939453">
      <x:c r="A7" s="16" t="s">
        <x:v>47</x:v>
      </x:c>
      <x:c r="B7" s="17">
        <x:v>3</x:v>
      </x:c>
      <x:c r="C7" s="17" t="str">
        <x:v>RUN</x:v>
      </x:c>
      <x:c r="D7" s="17" t="s">
        <x:v>48</x:v>
      </x:c>
      <x:c r="E7" s="17" t="s">
        <x:v>61</x:v>
      </x:c>
      <x:c r="F7" s="17" t="s">
        <x:v>62</x:v>
      </x:c>
      <x:c r="G7" s="17" t="s">
        <x:v>63</x:v>
      </x:c>
      <x:c r="H7" s="17" t="s">
        <x:v>64</x:v>
      </x:c>
      <x:c r="I7" s="17" t="s">
        <x:v>65</x:v>
      </x:c>
      <x:c r="J7" s="17" t="s">
        <x:v>66</x:v>
      </x:c>
      <x:c r="K7" s="17" t="str">
        <x:v>CN7.3 / K2.2</x:v>
      </x:c>
      <x:c r="L7" s="35" t="s">
        <x:v>67</x:v>
      </x:c>
      <x:c r="M7" s="18" t="s">
        <x:v>68</x:v>
      </x:c>
    </x:row>
    <x:row r="8" ht="14.300000190734863">
      <x:c r="A8" s="16" t="s">
        <x:v>47</x:v>
      </x:c>
      <x:c r="B8" s="17">
        <x:v>4</x:v>
      </x:c>
      <x:c r="C8" s="17" t="str">
        <x:v>DI8</x:v>
      </x:c>
      <x:c r="D8" s="17" t="s">
        <x:v>48</x:v>
      </x:c>
      <x:c r="E8" s="17" t="s">
        <x:v>61</x:v>
      </x:c>
      <x:c r="F8" s="17" t="s">
        <x:v>62</x:v>
      </x:c>
      <x:c r="G8" s="17" t="s">
        <x:v>69</x:v>
      </x:c>
      <x:c r="H8" s="17" t="s">
        <x:v>70</x:v>
      </x:c>
      <x:c r="I8" s="17" t="s">
        <x:v>71</x:v>
      </x:c>
      <x:c r="J8" s="17" t="s">
        <x:v>72</x:v>
      </x:c>
      <x:c r="K8" s="17" t="str">
        <x:v>CN7.4 / K5.2</x:v>
      </x:c>
      <x:c r="L8" s="35" t="s">
        <x:v>67</x:v>
      </x:c>
      <x:c r="M8" s="18"/>
    </x:row>
    <x:row r="9" ht="27.200000762939453">
      <x:c r="A9" s="16" t="s">
        <x:v>47</x:v>
      </x:c>
      <x:c r="B9" s="17">
        <x:v>5</x:v>
      </x:c>
      <x:c r="C9" s="17" t="str">
        <x:v>LED_EBS_ERROR</x:v>
      </x:c>
      <x:c r="D9" s="17" t="s">
        <x:v>48</x:v>
      </x:c>
      <x:c r="E9" s="17" t="str">
        <x:v>继电器常开低边触点（VCU命令）</x:v>
      </x:c>
      <x:c r="F9" s="17" t="str">
        <x:v>开路/接GND</x:v>
      </x:c>
      <x:c r="G9" s="17" t="str">
        <x:v>LED_EBS_ERROR_VCU为高时，K12吸合，2–3常开触点闭合，输出拉至GND</x:v>
      </x:c>
      <x:c r="H9" s="17" t="str">
        <x:v>命令低/开路、基板12V掉电或继电器释放时开路</x:v>
      </x:c>
      <x:c r="I9" s="17" t="str">
        <x:v>CN7.16→D26→U16低边驱动K12；K12.2=GND(COM)，K12.3=NO；H17.3 R_E_LED为锁存板冗余接口，按设计未使用</x:v>
      </x:c>
      <x:c r="J9" s="17" t="str">
        <x:v>外部EBS/RES错误灯阴极/低边负载</x:v>
      </x:c>
      <x:c r="K9" s="17" t="str">
        <x:v>CN7.5 / K12.3</x:v>
      </x:c>
      <x:c r="L9" s="59" t="str">
        <x:v>正常</x:v>
      </x:c>
      <x:c r="M9" s="18" t="str">
        <x:v>R_E_LED为锁存板设计冗余，无实际用途</x:v>
      </x:c>
    </x:row>
    <x:row r="10" ht="27.200000762939453">
      <x:c r="A10" s="16" t="s">
        <x:v>47</x:v>
      </x:c>
      <x:c r="B10" s="17">
        <x:v>6</x:v>
      </x:c>
      <x:c r="C10" s="17" t="str">
        <x:v>R2D_BUZZER</x:v>
      </x:c>
      <x:c r="D10" s="17" t="s">
        <x:v>48</x:v>
      </x:c>
      <x:c r="E10" s="17" t="s">
        <x:v>49</x:v>
      </x:c>
      <x:c r="F10" s="17" t="s">
        <x:v>50</x:v>
      </x:c>
      <x:c r="G10" s="17" t="s">
        <x:v>73</x:v>
      </x:c>
      <x:c r="H10" s="17" t="s">
        <x:v>74</x:v>
      </x:c>
      <x:c r="I10" s="17" t="s">
        <x:v>75</x:v>
      </x:c>
      <x:c r="J10" s="17" t="s">
        <x:v>76</x:v>
      </x:c>
      <x:c r="K10" s="17" t="str">
        <x:v>CN7.6 / K7.2</x:v>
      </x:c>
      <x:c r="L10" s="49" t="s">
        <x:v>67</x:v>
      </x:c>
      <x:c r="M10" s="18"/>
    </x:row>
    <x:row r="11" ht="27.200000762939453">
      <x:c r="A11" s="16" t="s">
        <x:v>47</x:v>
      </x:c>
      <x:c r="B11" s="17">
        <x:v>7</x:v>
      </x:c>
      <x:c r="C11" s="17" t="str">
        <x:v>LED_BRAKE</x:v>
      </x:c>
      <x:c r="D11" s="17" t="s">
        <x:v>48</x:v>
      </x:c>
      <x:c r="E11" s="17" t="s">
        <x:v>61</x:v>
      </x:c>
      <x:c r="F11" s="17" t="s">
        <x:v>62</x:v>
      </x:c>
      <x:c r="G11" s="17" t="s">
        <x:v>77</x:v>
      </x:c>
      <x:c r="H11" s="17" t="s">
        <x:v>78</x:v>
      </x:c>
      <x:c r="I11" s="17" t="s">
        <x:v>79</x:v>
      </x:c>
      <x:c r="J11" s="17" t="s">
        <x:v>80</x:v>
      </x:c>
      <x:c r="K11" s="17" t="str">
        <x:v>CN7.7 / K6.2</x:v>
      </x:c>
      <x:c r="L11" s="49" t="s">
        <x:v>67</x:v>
      </x:c>
      <x:c r="M11" s="18"/>
    </x:row>
    <x:row r="12" ht="14.300000190734863">
      <x:c r="A12" s="16" t="s">
        <x:v>47</x:v>
      </x:c>
      <x:c r="B12" s="17">
        <x:v>8</x:v>
      </x:c>
      <x:c r="C12" s="17" t="str">
        <x:v>ASSI_Y</x:v>
      </x:c>
      <x:c r="D12" s="17" t="s">
        <x:v>48</x:v>
      </x:c>
      <x:c r="E12" s="17" t="s">
        <x:v>61</x:v>
      </x:c>
      <x:c r="F12" s="17" t="s">
        <x:v>62</x:v>
      </x:c>
      <x:c r="G12" s="17" t="s">
        <x:v>81</x:v>
      </x:c>
      <x:c r="H12" s="17" t="s">
        <x:v>78</x:v>
      </x:c>
      <x:c r="I12" s="17" t="s">
        <x:v>82</x:v>
      </x:c>
      <x:c r="J12" s="17" t="s">
        <x:v>83</x:v>
      </x:c>
      <x:c r="K12" s="17" t="str">
        <x:v>CN7.8 / K8.2</x:v>
      </x:c>
      <x:c r="L12" s="49" t="s">
        <x:v>67</x:v>
      </x:c>
      <x:c r="M12" s="18"/>
    </x:row>
    <x:row r="13" ht="14.300000190734863">
      <x:c r="A13" s="16" t="s">
        <x:v>47</x:v>
      </x:c>
      <x:c r="B13" s="17">
        <x:v>9</x:v>
      </x:c>
      <x:c r="C13" s="17" t="str">
        <x:v>ASSI_B</x:v>
      </x:c>
      <x:c r="D13" s="17" t="s">
        <x:v>48</x:v>
      </x:c>
      <x:c r="E13" s="17" t="s">
        <x:v>61</x:v>
      </x:c>
      <x:c r="F13" s="17" t="s">
        <x:v>62</x:v>
      </x:c>
      <x:c r="G13" s="17" t="s">
        <x:v>84</x:v>
      </x:c>
      <x:c r="H13" s="17" t="s">
        <x:v>78</x:v>
      </x:c>
      <x:c r="I13" s="17" t="s">
        <x:v>85</x:v>
      </x:c>
      <x:c r="J13" s="17" t="s">
        <x:v>86</x:v>
      </x:c>
      <x:c r="K13" s="17" t="str">
        <x:v>CN7.9 / K11.2</x:v>
      </x:c>
      <x:c r="L13" s="49" t="s">
        <x:v>67</x:v>
      </x:c>
      <x:c r="M13" s="18"/>
    </x:row>
    <x:row r="14" ht="81.55000305175781">
      <x:c r="A14" s="16" t="s">
        <x:v>47</x:v>
      </x:c>
      <x:c r="B14" s="17">
        <x:v>10</x:v>
      </x:c>
      <x:c r="C14" s="17" t="str">
        <x:v>GND</x:v>
      </x:c>
      <x:c r="D14" s="17" t="s">
        <x:v>87</x:v>
      </x:c>
      <x:c r="E14" s="17" t="s">
        <x:v>88</x:v>
      </x:c>
      <x:c r="F14" s="17" t="s">
        <x:v>89</x:v>
      </x:c>
      <x:c r="G14" s="17" t="s">
        <x:v>90</x:v>
      </x:c>
      <x:c r="H14" s="17" t="s">
        <x:v>90</x:v>
      </x:c>
      <x:c r="I14" s="17" t="s">
        <x:v>91</x:v>
      </x:c>
      <x:c r="J14" s="17" t="s">
        <x:v>92</x:v>
      </x:c>
      <x:c r="K14" s="17" t="str">
        <x:v>C1.1 / C2.1 / C3.1 / C4.1 / C5.1 / CN7.10 / CN7.11 / CN7.13 / CN7.14 / CN8.6 / CN8.13 / CN8.17 / D9.2 / D16.2 / D17.2 / D21.2 / D22.2 / D23.2 / D35.2 / D37.2 / D39.2 / H1.2 / H2.2 / H7.2 / H8.2 / H13.1 / K2.1 / K5.1 / K7.1 / K7.3 / K12.2 / K13.2 / K14.2 / R17.1 / R18.1 / R19.1 / R37.1 / R38.1 / R39.1 / RELAY1.1 / U15.2 / U15.3 / U16.2 / U17.2 / U18.2 / U19.2 / U19.3 / U20.2 / U20.3</x:v>
      </x:c>
      <x:c r="L14" s="48" t="s">
        <x:v>55</x:v>
      </x:c>
      <x:c r="M14" s="18"/>
    </x:row>
    <x:row r="15" ht="14.300000190734863">
      <x:c r="A15" s="16" t="s">
        <x:v>47</x:v>
      </x:c>
      <x:c r="B15" s="17">
        <x:v>11</x:v>
      </x:c>
      <x:c r="C15" s="17" t="str">
        <x:v>GND</x:v>
      </x:c>
      <x:c r="D15" s="17" t="str">
        <x:v>电源参考</x:v>
      </x:c>
      <x:c r="E15" s="17" t="str">
        <x:v>低压地</x:v>
      </x:c>
      <x:c r="F15" s="17" t="str">
        <x:v>0V</x:v>
      </x:c>
      <x:c r="G15" s="17" t="str">
        <x:v>—</x:v>
      </x:c>
      <x:c r="H15" s="17" t="str">
        <x:v>—</x:v>
      </x:c>
      <x:c r="I15" s="17" t="str">
        <x:v>公共低压GND</x:v>
      </x:c>
      <x:c r="J15" s="17" t="str">
        <x:v>作为低压回流；原理图及PCB必须实际接地</x:v>
      </x:c>
      <x:c r="K15" s="17" t="str">
        <x:v>C1.1 / C2.1 / C3.1 / C4.1 / C5.1 / CN7.10 / CN7.11 / CN7.13 / CN7.14 / CN8.6 / CN8.13 / CN8.17 / D9.2 / D16.2 / D17.2 / D21.2 / D22.2 / D23.2 / D35.2 / D37.2 / D39.2 / H1.2 / H2.2 / H7.2 / H8.2 / H13.1 / K2.1 / K5.1 / K7.1 / K7.3 / K12.2 / K13.2 / K14.2 / R17.1 / R18.1 / R19.1 / R37.1 / R38.1 / R39.1 / RELAY1.1 / U15.2 / U15.3 / U16.2 / U17.2 / U18.2 / U19.2 / U19.3 / U20.2 / U20.3</x:v>
      </x:c>
      <x:c r="L15" s="65" t="str">
        <x:v>正常</x:v>
      </x:c>
      <x:c r="M15" s="18" t="str">
        <x:v>新版base.tel已确认GND</x:v>
      </x:c>
    </x:row>
    <x:row r="16" ht="27.200000762939453">
      <x:c r="A16" s="16" t="s">
        <x:v>47</x:v>
      </x:c>
      <x:c r="B16" s="17">
        <x:v>12</x:v>
      </x:c>
      <x:c r="C16" s="17" t="str">
        <x:v>EMERGENCY_BUZZER</x:v>
      </x:c>
      <x:c r="D16" s="17" t="s">
        <x:v>48</x:v>
      </x:c>
      <x:c r="E16" s="17" t="s">
        <x:v>49</x:v>
      </x:c>
      <x:c r="F16" s="17" t="s">
        <x:v>50</x:v>
      </x:c>
      <x:c r="G16" s="17" t="s">
        <x:v>93</x:v>
      </x:c>
      <x:c r="H16" s="17" t="s">
        <x:v>78</x:v>
      </x:c>
      <x:c r="I16" s="17" t="s">
        <x:v>94</x:v>
      </x:c>
      <x:c r="J16" s="17" t="s">
        <x:v>95</x:v>
      </x:c>
      <x:c r="K16" s="17" t="str">
        <x:v>CN7.12 / K9.2</x:v>
      </x:c>
      <x:c r="L16" s="49" t="s">
        <x:v>67</x:v>
      </x:c>
      <x:c r="M16" s="18"/>
    </x:row>
    <x:row r="17" ht="14.300000190734863">
      <x:c r="A17" s="16" t="s">
        <x:v>47</x:v>
      </x:c>
      <x:c r="B17" s="17">
        <x:v>13</x:v>
      </x:c>
      <x:c r="C17" s="17" t="str">
        <x:v>GND</x:v>
      </x:c>
      <x:c r="D17" s="17" t="str">
        <x:v>电源参考</x:v>
      </x:c>
      <x:c r="E17" s="17" t="str">
        <x:v>低压地</x:v>
      </x:c>
      <x:c r="F17" s="17" t="str">
        <x:v>0V</x:v>
      </x:c>
      <x:c r="G17" s="17" t="str">
        <x:v>—</x:v>
      </x:c>
      <x:c r="H17" s="17" t="str">
        <x:v>—</x:v>
      </x:c>
      <x:c r="I17" s="17" t="str">
        <x:v>公共低压GND</x:v>
      </x:c>
      <x:c r="J17" s="17" t="str">
        <x:v>作为低压回流；原理图及PCB必须实际接地</x:v>
      </x:c>
      <x:c r="K17" s="17" t="str">
        <x:v>C1.1 / C2.1 / C3.1 / C4.1 / C5.1 / CN7.10 / CN7.11 / CN7.13 / CN7.14 / CN8.6 / CN8.13 / CN8.17 / D9.2 / D16.2 / D17.2 / D21.2 / D22.2 / D23.2 / D35.2 / D37.2 / D39.2 / H1.2 / H2.2 / H7.2 / H8.2 / H13.1 / K2.1 / K5.1 / K7.1 / K7.3 / K12.2 / K13.2 / K14.2 / R17.1 / R18.1 / R19.1 / R37.1 / R38.1 / R39.1 / RELAY1.1 / U15.2 / U15.3 / U16.2 / U17.2 / U18.2 / U19.2 / U19.3 / U20.2 / U20.3</x:v>
      </x:c>
      <x:c r="L17" s="65" t="str">
        <x:v>正常</x:v>
      </x:c>
      <x:c r="M17" s="18" t="str">
        <x:v>新版base.tel已确认GND</x:v>
      </x:c>
    </x:row>
    <x:row r="18" ht="14.300000190734863">
      <x:c r="A18" s="16" t="s">
        <x:v>47</x:v>
      </x:c>
      <x:c r="B18" s="17">
        <x:v>14</x:v>
      </x:c>
      <x:c r="C18" s="17" t="str">
        <x:v>GND</x:v>
      </x:c>
      <x:c r="D18" s="17" t="str">
        <x:v>电源参考</x:v>
      </x:c>
      <x:c r="E18" s="17" t="str">
        <x:v>低压地</x:v>
      </x:c>
      <x:c r="F18" s="17" t="str">
        <x:v>0V</x:v>
      </x:c>
      <x:c r="G18" s="17" t="str">
        <x:v>—</x:v>
      </x:c>
      <x:c r="H18" s="17" t="str">
        <x:v>—</x:v>
      </x:c>
      <x:c r="I18" s="17" t="str">
        <x:v>公共低压GND</x:v>
      </x:c>
      <x:c r="J18" s="17" t="str">
        <x:v>作为低压回流；原理图及PCB必须实际接地</x:v>
      </x:c>
      <x:c r="K18" s="17" t="str">
        <x:v>C1.1 / C2.1 / C3.1 / C4.1 / C5.1 / CN7.10 / CN7.11 / CN7.13 / CN7.14 / CN8.6 / CN8.13 / CN8.17 / D9.2 / D16.2 / D17.2 / D21.2 / D22.2 / D23.2 / D35.2 / D37.2 / D39.2 / H1.2 / H2.2 / H7.2 / H8.2 / H13.1 / K2.1 / K5.1 / K7.1 / K7.3 / K12.2 / K13.2 / K14.2 / R17.1 / R18.1 / R19.1 / R37.1 / R38.1 / R39.1 / RELAY1.1 / U15.2 / U15.3 / U16.2 / U17.2 / U18.2 / U19.2 / U19.3 / U20.2 / U20.3</x:v>
      </x:c>
      <x:c r="L18" s="65" t="str">
        <x:v>正常</x:v>
      </x:c>
      <x:c r="M18" s="18" t="str">
        <x:v>新版base.tel已确认GND</x:v>
      </x:c>
    </x:row>
    <x:row r="19" ht="27.200000762939453">
      <x:c r="A19" s="16" t="s">
        <x:v>47</x:v>
      </x:c>
      <x:c r="B19" s="17">
        <x:v>15</x:v>
      </x:c>
      <x:c r="C19" s="17" t="str">
        <x:v>R2D_BUZZER_VCU</x:v>
      </x:c>
      <x:c r="D19" s="17" t="s">
        <x:v>96</x:v>
      </x:c>
      <x:c r="E19" s="17" t="s">
        <x:v>97</x:v>
      </x:c>
      <x:c r="F19" s="17" t="s">
        <x:v>98</x:v>
      </x:c>
      <x:c r="G19" s="17" t="s">
        <x:v>99</x:v>
      </x:c>
      <x:c r="H19" s="17" t="s">
        <x:v>100</x:v>
      </x:c>
      <x:c r="I19" s="17" t="s">
        <x:v>101</x:v>
      </x:c>
      <x:c r="J19" s="17" t="s">
        <x:v>102</x:v>
      </x:c>
      <x:c r="K19" s="17" t="str">
        <x:v>CN7.15 / D9.1 / K7.5</x:v>
      </x:c>
      <x:c r="L19" s="48" t="s">
        <x:v>55</x:v>
      </x:c>
      <x:c r="M19" s="18"/>
    </x:row>
    <x:row r="20" ht="27.200000762939453">
      <x:c r="A20" s="16" t="s">
        <x:v>47</x:v>
      </x:c>
      <x:c r="B20" s="17">
        <x:v>16</x:v>
      </x:c>
      <x:c r="C20" s="17" t="str">
        <x:v>LED_EBS_ERROR_VCU</x:v>
      </x:c>
      <x:c r="D20" s="17" t="s">
        <x:v>96</x:v>
      </x:c>
      <x:c r="E20" s="17" t="str">
        <x:v>12V高阻逻辑命令</x:v>
      </x:c>
      <x:c r="F20" s="17" t="str">
        <x:v>12V高有效，稳态约0.1mA</x:v>
      </x:c>
      <x:c r="G20" s="17" t="str">
        <x:v>高电平经D26使U16导通，K12吸合，LED_EBS_ERROR输出拉低</x:v>
      </x:c>
      <x:c r="H20" s="17" t="str">
        <x:v>低/开路时R17=100k下拉，K12释放</x:v>
      </x:c>
      <x:c r="I20" s="17" t="str">
        <x:v>CN7.16→D26→U16 Gate；R17=100k下拉；U16低边驱动K12线圈</x:v>
      </x:c>
      <x:c r="J20" s="17" t="str">
        <x:v>允许12V逻辑；必须与基板GND共地</x:v>
      </x:c>
      <x:c r="K20" s="17" t="str">
        <x:v>CN7.16 / D26.2</x:v>
      </x:c>
      <x:c r="L20" s="59" t="str">
        <x:v>正常</x:v>
      </x:c>
      <x:c r="M20" s="18" t="str">
        <x:v>H17.3 R_E_LED为锁存板冗余接口，按设计未使用</x:v>
      </x:c>
    </x:row>
    <x:row r="21" ht="14.300000190734863">
      <x:c r="A21" s="16" t="s">
        <x:v>47</x:v>
      </x:c>
      <x:c r="B21" s="17">
        <x:v>17</x:v>
      </x:c>
      <x:c r="C21" s="17" t="str">
        <x:v>DI8_VCU</x:v>
      </x:c>
      <x:c r="D21" s="17" t="s">
        <x:v>96</x:v>
      </x:c>
      <x:c r="E21" s="17" t="s">
        <x:v>97</x:v>
      </x:c>
      <x:c r="F21" s="17" t="s">
        <x:v>98</x:v>
      </x:c>
      <x:c r="G21" s="17" t="s">
        <x:v>103</x:v>
      </x:c>
      <x:c r="H21" s="17" t="s">
        <x:v>104</x:v>
      </x:c>
      <x:c r="I21" s="17" t="s">
        <x:v>105</x:v>
      </x:c>
      <x:c r="J21" s="17" t="s">
        <x:v>106</x:v>
      </x:c>
      <x:c r="K21" s="17" t="str">
        <x:v>CN7.17 / D16.1 / K5.5</x:v>
      </x:c>
      <x:c r="L21" s="35" t="s">
        <x:v>67</x:v>
      </x:c>
      <x:c r="M21" s="18"/>
    </x:row>
    <x:row r="22" ht="14.300000190734863">
      <x:c r="A22" s="16" t="s">
        <x:v>47</x:v>
      </x:c>
      <x:c r="B22" s="17">
        <x:v>18</x:v>
      </x:c>
      <x:c r="C22" s="17" t="str">
        <x:v>RUN_VCU</x:v>
      </x:c>
      <x:c r="D22" s="17" t="s">
        <x:v>96</x:v>
      </x:c>
      <x:c r="E22" s="17" t="s">
        <x:v>97</x:v>
      </x:c>
      <x:c r="F22" s="17" t="s">
        <x:v>98</x:v>
      </x:c>
      <x:c r="G22" s="17" t="s">
        <x:v>107</x:v>
      </x:c>
      <x:c r="H22" s="17" t="s">
        <x:v>108</x:v>
      </x:c>
      <x:c r="I22" s="17" t="s">
        <x:v>109</x:v>
      </x:c>
      <x:c r="J22" s="17" t="s">
        <x:v>106</x:v>
      </x:c>
      <x:c r="K22" s="17" t="str">
        <x:v>CN7.18 / D17.1 / K2.5</x:v>
      </x:c>
      <x:c r="L22" s="35" t="s">
        <x:v>67</x:v>
      </x:c>
      <x:c r="M22" s="18"/>
    </x:row>
    <x:row r="23" ht="14.300000190734863">
      <x:c r="A23" s="16" t="s">
        <x:v>47</x:v>
      </x:c>
      <x:c r="B23" s="17">
        <x:v>19</x:v>
      </x:c>
      <x:c r="C23" s="17" t="str">
        <x:v>LED_BMS_ERROR_VCU</x:v>
      </x:c>
      <x:c r="D23" s="17" t="s">
        <x:v>96</x:v>
      </x:c>
      <x:c r="E23" s="17" t="s">
        <x:v>110</x:v>
      </x:c>
      <x:c r="F23" s="17" t="s">
        <x:v>111</x:v>
      </x:c>
      <x:c r="G23" s="17" t="s">
        <x:v>112</x:v>
      </x:c>
      <x:c r="H23" s="17" t="s">
        <x:v>113</x:v>
      </x:c>
      <x:c r="I23" s="17" t="s">
        <x:v>114</x:v>
      </x:c>
      <x:c r="J23" s="17" t="s">
        <x:v>115</x:v>
      </x:c>
      <x:c r="K23" s="17" t="str">
        <x:v>CN7.19 / D31.2</x:v>
      </x:c>
      <x:c r="L23" s="22" t="s">
        <x:v>55</x:v>
      </x:c>
      <x:c r="M23" s="18"/>
    </x:row>
    <x:row r="24" ht="14.300000190734863">
      <x:c r="A24" s="16" t="s">
        <x:v>47</x:v>
      </x:c>
      <x:c r="B24" s="17">
        <x:v>20</x:v>
      </x:c>
      <x:c r="C24" s="17" t="str">
        <x:v>LED_IMD_ERROR_VCU</x:v>
      </x:c>
      <x:c r="D24" s="17" t="s">
        <x:v>96</x:v>
      </x:c>
      <x:c r="E24" s="17" t="s">
        <x:v>110</x:v>
      </x:c>
      <x:c r="F24" s="17" t="s">
        <x:v>111</x:v>
      </x:c>
      <x:c r="G24" s="17" t="s">
        <x:v>116</x:v>
      </x:c>
      <x:c r="H24" s="17" t="s">
        <x:v>117</x:v>
      </x:c>
      <x:c r="I24" s="17" t="s">
        <x:v>118</x:v>
      </x:c>
      <x:c r="J24" s="17" t="s">
        <x:v>115</x:v>
      </x:c>
      <x:c r="K24" s="17" t="str">
        <x:v>CN7.20 / D29.2</x:v>
      </x:c>
      <x:c r="L24" s="22" t="s">
        <x:v>55</x:v>
      </x:c>
      <x:c r="M24" s="18"/>
    </x:row>
    <x:row r="25" ht="27.200000762939453">
      <x:c r="A25" s="16" t="s">
        <x:v>119</x:v>
      </x:c>
      <x:c r="B25" s="17">
        <x:v>1</x:v>
      </x:c>
      <x:c r="C25" s="17" t="str">
        <x:v>IMD_RESET</x:v>
      </x:c>
      <x:c r="D25" s="17" t="s">
        <x:v>96</x:v>
      </x:c>
      <x:c r="E25" s="17" t="str">
        <x:v>外部直通 + 10k上拉偏置</x:v>
      </x:c>
      <x:c r="F25" s="17" t="str">
        <x:v>约4.7V默认高；低脉冲有效；外部12V经10k约0.73mA</x:v>
      </x:c>
      <x:c r="G25" s="17" t="str">
        <x:v>外部拉低时复位IMD锁存；释放后由共用4.7V偏置经10k拉高</x:v>
      </x:c>
      <x:c r="H25" s="17" t="str">
        <x:v>开路时默认高；基板12V掉电时上拉失效</x:v>
      </x:c>
      <x:c r="I25" s="17" t="str">
        <x:v>CN8.1直通H11.1；R48=10k接共用偏置；R8=1k从12V供电，D23=BZT52C4V7S钳位</x:v>
      </x:c>
      <x:c r="J25" s="17" t="str">
        <x:v>推荐开漏/开集拉低；若推挽高，确认高电平与锁存板输入兼容</x:v>
      </x:c>
      <x:c r="K25" s="17" t="str">
        <x:v>CN8.1 / H11.1 / R48.1</x:v>
      </x:c>
      <x:c r="L25" s="24" t="str">
        <x:v>需系统确认</x:v>
      </x:c>
      <x:c r="M25" s="18" t="str">
        <x:v>新版共用偏置结构，非三路独立1k串联钳位</x:v>
      </x:c>
    </x:row>
    <x:row r="26" ht="27.200000762939453">
      <x:c r="A26" s="16" t="s">
        <x:v>119</x:v>
      </x:c>
      <x:c r="B26" s="17">
        <x:v>2</x:v>
      </x:c>
      <x:c r="C26" s="17" t="str">
        <x:v>BMS_RESET</x:v>
      </x:c>
      <x:c r="D26" s="17" t="s">
        <x:v>96</x:v>
      </x:c>
      <x:c r="E26" s="17" t="str">
        <x:v>外部直通 + 10k上拉偏置</x:v>
      </x:c>
      <x:c r="F26" s="17" t="str">
        <x:v>约4.7V默认高；低脉冲有效；外部12V经10k约0.73mA</x:v>
      </x:c>
      <x:c r="G26" s="17" t="str">
        <x:v>外部拉低时复位BMS锁存；释放后由共用4.7V偏置经10k拉高</x:v>
      </x:c>
      <x:c r="H26" s="17" t="str">
        <x:v>开路时默认高；基板12V掉电时上拉失效</x:v>
      </x:c>
      <x:c r="I26" s="17" t="str">
        <x:v>CN8.2直通H11.2；R49=10k接共用偏置；R8=1k从12V供电，D23=BZT52C4V7S钳位</x:v>
      </x:c>
      <x:c r="J26" s="17" t="str">
        <x:v>推荐开漏/开集拉低；若推挽高，确认高电平与锁存板输入兼容</x:v>
      </x:c>
      <x:c r="K26" s="17" t="str">
        <x:v>CN8.2 / H11.2 / R49.1</x:v>
      </x:c>
      <x:c r="L26" s="24" t="str">
        <x:v>需系统确认</x:v>
      </x:c>
      <x:c r="M26" s="18" t="str">
        <x:v>新版共用偏置结构，非三路独立1k串联钳位</x:v>
      </x:c>
    </x:row>
    <x:row r="27" ht="27.200000762939453">
      <x:c r="A27" s="16" t="s">
        <x:v>119</x:v>
      </x:c>
      <x:c r="B27" s="17">
        <x:v>3</x:v>
      </x:c>
      <x:c r="C27" s="17" t="str">
        <x:v>R_E_RESET</x:v>
      </x:c>
      <x:c r="D27" s="17" t="s">
        <x:v>96</x:v>
      </x:c>
      <x:c r="E27" s="17" t="str">
        <x:v>外部直通 + 10k上拉偏置</x:v>
      </x:c>
      <x:c r="F27" s="17" t="str">
        <x:v>约4.7V默认高；低脉冲有效；外部12V经10k约0.73mA</x:v>
      </x:c>
      <x:c r="G27" s="17" t="str">
        <x:v>外部拉低时复位EBS/RES锁存；释放后由共用4.7V偏置经10k拉高</x:v>
      </x:c>
      <x:c r="H27" s="17" t="str">
        <x:v>开路时默认高；基板12V掉电时上拉失效</x:v>
      </x:c>
      <x:c r="I27" s="17" t="str">
        <x:v>CN8.3直通H11.3；R50=10k接共用偏置；R8=1k从12V供电，D23=BZT52C4V7S钳位</x:v>
      </x:c>
      <x:c r="J27" s="17" t="str">
        <x:v>推荐开漏/开集拉低；若推挽高，确认高电平与锁存板输入兼容</x:v>
      </x:c>
      <x:c r="K27" s="17" t="str">
        <x:v>CN8.3 / H11.3 / R50.1</x:v>
      </x:c>
      <x:c r="L27" s="24" t="str">
        <x:v>需系统确认</x:v>
      </x:c>
      <x:c r="M27" s="18" t="str">
        <x:v>新版共用偏置结构，非三路独立1k串联钳位</x:v>
      </x:c>
    </x:row>
    <x:row r="28" ht="27.200000762939453">
      <x:c r="A28" s="16" t="s">
        <x:v>119</x:v>
      </x:c>
      <x:c r="B28" s="17">
        <x:v>4</x:v>
      </x:c>
      <x:c r="C28" s="17" t="str">
        <x:v>IMD_ERROR</x:v>
      </x:c>
      <x:c r="D28" s="17" t="s">
        <x:v>120</x:v>
      </x:c>
      <x:c r="E28" s="17" t="s">
        <x:v>121</x:v>
      </x:c>
      <x:c r="F28" s="17" t="s">
        <x:v>122</x:v>
      </x:c>
      <x:c r="G28" s="17" t="s">
        <x:v>123</x:v>
      </x:c>
      <x:c r="H28" s="17" t="s">
        <x:v>124</x:v>
      </x:c>
      <x:c r="I28" s="17" t="s">
        <x:v>125</x:v>
      </x:c>
      <x:c r="J28" s="17" t="s">
        <x:v>126</x:v>
      </x:c>
      <x:c r="K28" s="17" t="str">
        <x:v>CN8.4 / H12.1</x:v>
      </x:c>
      <x:c r="L28" s="24" t="s">
        <x:v>127</x:v>
      </x:c>
      <x:c r="M28" s="18"/>
    </x:row>
    <x:row r="29" ht="27.200000762939453">
      <x:c r="A29" s="16" t="s">
        <x:v>119</x:v>
      </x:c>
      <x:c r="B29" s="17">
        <x:v>5</x:v>
      </x:c>
      <x:c r="C29" s="17" t="str">
        <x:v>BMS_ERROR</x:v>
      </x:c>
      <x:c r="D29" s="17" t="s">
        <x:v>120</x:v>
      </x:c>
      <x:c r="E29" s="17" t="s">
        <x:v>121</x:v>
      </x:c>
      <x:c r="F29" s="17" t="s">
        <x:v>128</x:v>
      </x:c>
      <x:c r="G29" s="17" t="s">
        <x:v>129</x:v>
      </x:c>
      <x:c r="H29" s="17" t="s">
        <x:v>130</x:v>
      </x:c>
      <x:c r="I29" s="17" t="s">
        <x:v>131</x:v>
      </x:c>
      <x:c r="J29" s="17" t="s">
        <x:v>132</x:v>
      </x:c>
      <x:c r="K29" s="17" t="str">
        <x:v>CN8.5 / H12.2</x:v>
      </x:c>
      <x:c r="L29" s="24" t="s">
        <x:v>127</x:v>
      </x:c>
      <x:c r="M29" s="18"/>
    </x:row>
    <x:row r="30" ht="14.300000190734863">
      <x:c r="A30" s="16" t="s">
        <x:v>119</x:v>
      </x:c>
      <x:c r="B30" s="17">
        <x:v>6</x:v>
      </x:c>
      <x:c r="C30" s="17" t="str">
        <x:v>GND</x:v>
      </x:c>
      <x:c r="D30" s="17" t="str">
        <x:v>电源参考</x:v>
      </x:c>
      <x:c r="E30" s="17" t="str">
        <x:v>低压地</x:v>
      </x:c>
      <x:c r="F30" s="17" t="str">
        <x:v>0V</x:v>
      </x:c>
      <x:c r="G30" s="17" t="str">
        <x:v>—</x:v>
      </x:c>
      <x:c r="H30" s="17" t="str">
        <x:v>—</x:v>
      </x:c>
      <x:c r="I30" s="17" t="str">
        <x:v>公共低压GND</x:v>
      </x:c>
      <x:c r="J30" s="17" t="str">
        <x:v>作为低压回流；原理图及PCB必须实际接地</x:v>
      </x:c>
      <x:c r="K30" s="17" t="str">
        <x:v>C1.1 / C2.1 / C3.1 / C4.1 / C5.1 / CN7.10 / CN7.11 / CN7.13 / CN7.14 / CN8.6 / CN8.13 / CN8.17 / D9.2 / D16.2 / D17.2 / D21.2 / D22.2 / D23.2 / D35.2 / D37.2 / D39.2 / H1.2 / H2.2 / H7.2 / H8.2 / H13.1 / K2.1 / K5.1 / K7.1 / K7.3 / K12.2 / K13.2 / K14.2 / R17.1 / R18.1 / R19.1 / R37.1 / R38.1 / R39.1 / RELAY1.1 / U15.2 / U15.3 / U16.2 / U17.2 / U18.2 / U19.2 / U19.3 / U20.2 / U20.3</x:v>
      </x:c>
      <x:c r="L30" s="65" t="str">
        <x:v>正常</x:v>
      </x:c>
      <x:c r="M30" s="18" t="str">
        <x:v>新版base.tel已确认GND</x:v>
      </x:c>
    </x:row>
    <x:row r="31" ht="27.200000762939453">
      <x:c r="A31" s="16" t="s">
        <x:v>119</x:v>
      </x:c>
      <x:c r="B31" s="17">
        <x:v>7</x:v>
      </x:c>
      <x:c r="C31" s="17" t="str">
        <x:v>EMERGENCY_BUZZER_VCU</x:v>
      </x:c>
      <x:c r="D31" s="17" t="s">
        <x:v>96</x:v>
      </x:c>
      <x:c r="E31" s="17" t="s">
        <x:v>133</x:v>
      </x:c>
      <x:c r="F31" s="17" t="s">
        <x:v>134</x:v>
      </x:c>
      <x:c r="G31" s="17" t="s">
        <x:v>135</x:v>
      </x:c>
      <x:c r="H31" s="17" t="s">
        <x:v>136</x:v>
      </x:c>
      <x:c r="I31" s="17" t="s">
        <x:v>137</x:v>
      </x:c>
      <x:c r="J31" s="17" t="s">
        <x:v>138</x:v>
      </x:c>
      <x:c r="K31" s="17" t="str">
        <x:v>CN8.7 / D8.2 / K9.5</x:v>
      </x:c>
      <x:c r="L31" s="34" t="s">
        <x:v>55</x:v>
      </x:c>
      <x:c r="M31" s="18"/>
    </x:row>
    <x:row r="32" ht="14.300000190734863">
      <x:c r="A32" s="16" t="s">
        <x:v>119</x:v>
      </x:c>
      <x:c r="B32" s="17">
        <x:v>8</x:v>
      </x:c>
      <x:c r="C32" s="17" t="str">
        <x:v>LED_BRAKE_VCU</x:v>
      </x:c>
      <x:c r="D32" s="17" t="s">
        <x:v>96</x:v>
      </x:c>
      <x:c r="E32" s="17" t="s">
        <x:v>133</x:v>
      </x:c>
      <x:c r="F32" s="17" t="s">
        <x:v>134</x:v>
      </x:c>
      <x:c r="G32" s="17" t="s">
        <x:v>139</x:v>
      </x:c>
      <x:c r="H32" s="17" t="s">
        <x:v>140</x:v>
      </x:c>
      <x:c r="I32" s="17" t="s">
        <x:v>141</x:v>
      </x:c>
      <x:c r="J32" s="17" t="s">
        <x:v>142</x:v>
      </x:c>
      <x:c r="K32" s="17" t="str">
        <x:v>CN8.8 / D10.2 / K6.5</x:v>
      </x:c>
      <x:c r="L32" s="34" t="s">
        <x:v>55</x:v>
      </x:c>
      <x:c r="M32" s="18"/>
    </x:row>
    <x:row r="33" ht="14.300000190734863">
      <x:c r="A33" s="16" t="s">
        <x:v>119</x:v>
      </x:c>
      <x:c r="B33" s="17">
        <x:v>9</x:v>
      </x:c>
      <x:c r="C33" s="17" t="str">
        <x:v>ASSI_Y_VCU</x:v>
      </x:c>
      <x:c r="D33" s="17" t="s">
        <x:v>96</x:v>
      </x:c>
      <x:c r="E33" s="17" t="s">
        <x:v>133</x:v>
      </x:c>
      <x:c r="F33" s="17" t="s">
        <x:v>134</x:v>
      </x:c>
      <x:c r="G33" s="17" t="s">
        <x:v>143</x:v>
      </x:c>
      <x:c r="H33" s="17" t="s">
        <x:v>144</x:v>
      </x:c>
      <x:c r="I33" s="17" t="s">
        <x:v>145</x:v>
      </x:c>
      <x:c r="J33" s="17" t="s">
        <x:v>142</x:v>
      </x:c>
      <x:c r="K33" s="17" t="str">
        <x:v>CN8.9 / D11.2 / K8.5</x:v>
      </x:c>
      <x:c r="L33" s="34" t="s">
        <x:v>55</x:v>
      </x:c>
      <x:c r="M33" s="18"/>
    </x:row>
    <x:row r="34" ht="14.300000190734863">
      <x:c r="A34" s="16" t="s">
        <x:v>119</x:v>
      </x:c>
      <x:c r="B34" s="17">
        <x:v>10</x:v>
      </x:c>
      <x:c r="C34" s="17" t="str">
        <x:v>ASSI_B_VCU</x:v>
      </x:c>
      <x:c r="D34" s="17" t="s">
        <x:v>96</x:v>
      </x:c>
      <x:c r="E34" s="17" t="s">
        <x:v>133</x:v>
      </x:c>
      <x:c r="F34" s="17" t="s">
        <x:v>134</x:v>
      </x:c>
      <x:c r="G34" s="17" t="s">
        <x:v>146</x:v>
      </x:c>
      <x:c r="H34" s="17" t="s">
        <x:v>147</x:v>
      </x:c>
      <x:c r="I34" s="17" t="s">
        <x:v>148</x:v>
      </x:c>
      <x:c r="J34" s="17" t="s">
        <x:v>142</x:v>
      </x:c>
      <x:c r="K34" s="17" t="str">
        <x:v>CN8.10 / D12.2 / K11.5</x:v>
      </x:c>
      <x:c r="L34" s="34" t="s">
        <x:v>55</x:v>
      </x:c>
      <x:c r="M34" s="18"/>
    </x:row>
    <x:row r="35" ht="30.600000381469727" customHeight="1">
      <x:c r="A35" s="16" t="s">
        <x:v>119</x:v>
      </x:c>
      <x:c r="B35" s="17">
        <x:v>11</x:v>
      </x:c>
      <x:c r="C35" s="17" t="str">
        <x:v>SHUTDOWN_END</x:v>
      </x:c>
      <x:c r="D35" s="17" t="s">
        <x:v>48</x:v>
      </x:c>
      <x:c r="E35" s="17" t="s">
        <x:v>149</x:v>
      </x:c>
      <x:c r="F35" s="17" t="s">
        <x:v>150</x:v>
      </x:c>
      <x:c r="G35" s="17" t="s">
        <x:v>151</x:v>
      </x:c>
      <x:c r="H35" s="17" t="s">
        <x:v>152</x:v>
      </x:c>
      <x:c r="I35" s="17" t="s">
        <x:v>153</x:v>
      </x:c>
      <x:c r="J35" s="17" t="s">
        <x:v>154</x:v>
      </x:c>
      <x:c r="K35" s="17" t="str">
        <x:v>CN8.11 / Q4.2 / R39.2</x:v>
      </x:c>
      <x:c r="L35" s="28" t="s">
        <x:v>155</x:v>
      </x:c>
      <x:c r="M35" s="18"/>
    </x:row>
    <x:row r="36" ht="14.300000190734863">
      <x:c r="A36" s="16" t="s">
        <x:v>119</x:v>
      </x:c>
      <x:c r="B36" s="17">
        <x:v>12</x:v>
      </x:c>
      <x:c r="C36" s="17" t="str">
        <x:v>SHUTDOWN_START</x:v>
      </x:c>
      <x:c r="D36" s="17" t="s">
        <x:v>48</x:v>
      </x:c>
      <x:c r="E36" s="17" t="s">
        <x:v>149</x:v>
      </x:c>
      <x:c r="F36" s="17" t="s">
        <x:v>156</x:v>
      </x:c>
      <x:c r="G36" s="17" t="s">
        <x:v>157</x:v>
      </x:c>
      <x:c r="H36" s="17" t="s">
        <x:v>158</x:v>
      </x:c>
      <x:c r="I36" s="17" t="s">
        <x:v>159</x:v>
      </x:c>
      <x:c r="J36" s="17" t="s">
        <x:v>160</x:v>
      </x:c>
      <x:c r="K36" s="17" t="str">
        <x:v>CN8.12 / Q3.2 / R37.2</x:v>
      </x:c>
      <x:c r="L36" s="28" t="s">
        <x:v>155</x:v>
      </x:c>
      <x:c r="M36" s="18"/>
    </x:row>
    <x:row r="37" ht="14.300000190734863">
      <x:c r="A37" s="16" t="s">
        <x:v>119</x:v>
      </x:c>
      <x:c r="B37" s="17">
        <x:v>13</x:v>
      </x:c>
      <x:c r="C37" s="17" t="str">
        <x:v>GND</x:v>
      </x:c>
      <x:c r="D37" s="17" t="str">
        <x:v>电源参考</x:v>
      </x:c>
      <x:c r="E37" s="17" t="str">
        <x:v>低压地</x:v>
      </x:c>
      <x:c r="F37" s="17" t="str">
        <x:v>0V</x:v>
      </x:c>
      <x:c r="G37" s="17" t="str">
        <x:v>—</x:v>
      </x:c>
      <x:c r="H37" s="17" t="str">
        <x:v>—</x:v>
      </x:c>
      <x:c r="I37" s="17" t="str">
        <x:v>公共GND</x:v>
      </x:c>
      <x:c r="J37" s="17" t="str">
        <x:v>作为低压信号/电源回流；不得与牵引高压侧直接混用</x:v>
      </x:c>
      <x:c r="K37" s="17" t="str">
        <x:v>C1.1 / C2.1 / C3.1 / C4.1 / C5.1 / CN7.10 / CN7.11 / CN7.13 / CN7.14 / CN8.6 / CN8.13 / CN8.17 / D9.2 / D16.2 / D17.2 / D21.2 / D22.2 / D23.2 / D35.2 / D37.2 / D39.2 / H1.2 / H2.2 / H7.2 / H8.2 / H13.1 / K2.1 / K5.1 / K7.1 / K7.3 / K12.2 / K13.2 / K14.2 / R17.1 / R18.1 / R19.1 / R37.1 / R38.1 / R39.1 / RELAY1.1 / U15.2 / U15.3 / U16.2 / U17.2 / U18.2 / U19.2 / U19.3 / U20.2 / U20.3</x:v>
      </x:c>
      <x:c r="L37" s="26" t="str">
        <x:v>正常</x:v>
      </x:c>
      <x:c r="M37" s="18" t="str">
        <x:v>新版网表由原NC改接GND</x:v>
      </x:c>
    </x:row>
    <x:row r="38" ht="27.200000762939453">
      <x:c r="A38" s="16" t="s">
        <x:v>119</x:v>
      </x:c>
      <x:c r="B38" s="17">
        <x:v>14</x:v>
      </x:c>
      <x:c r="C38" s="17" t="str">
        <x:v>ASMS</x:v>
      </x:c>
      <x:c r="D38" s="17" t="s">
        <x:v>96</x:v>
      </x:c>
      <x:c r="E38" s="17" t="s">
        <x:v>161</x:v>
      </x:c>
      <x:c r="F38" s="17" t="s">
        <x:v>162</x:v>
      </x:c>
      <x:c r="G38" s="17" t="s">
        <x:v>163</x:v>
      </x:c>
      <x:c r="H38" s="17" t="s">
        <x:v>164</x:v>
      </x:c>
      <x:c r="I38" s="17" t="s">
        <x:v>165</x:v>
      </x:c>
      <x:c r="J38" s="17" t="s">
        <x:v>166</x:v>
      </x:c>
      <x:c r="K38" s="17" t="str">
        <x:v>CN8.14 / D22.1 / R22.2 / RELAY1.2 / RELAY1.8</x:v>
      </x:c>
      <x:c r="L38" s="22" t="s">
        <x:v>55</x:v>
      </x:c>
      <x:c r="M38" s="18"/>
    </x:row>
    <x:row r="39" ht="34" customHeight="1">
      <x:c r="A39" s="16" t="s">
        <x:v>119</x:v>
      </x:c>
      <x:c r="B39" s="17">
        <x:v>15</x:v>
      </x:c>
      <x:c r="C39" s="17" t="str">
        <x:v>12V</x:v>
      </x:c>
      <x:c r="D39" s="17" t="s">
        <x:v>167</x:v>
      </x:c>
      <x:c r="E39" s="17" t="s">
        <x:v>168</x:v>
      </x:c>
      <x:c r="F39" s="17" t="s">
        <x:v>169</x:v>
      </x:c>
      <x:c r="G39" s="17" t="s">
        <x:v>170</x:v>
      </x:c>
      <x:c r="H39" s="17" t="s">
        <x:v>171</x:v>
      </x:c>
      <x:c r="I39" s="17" t="s">
        <x:v>172</x:v>
      </x:c>
      <x:c r="J39" s="17" t="s">
        <x:v>173</x:v>
      </x:c>
      <x:c r="K39" s="17" t="str">
        <x:v>CN8.15 / D8.1 / D10.1 / D11.1 / D12.1 / D13.1 / D14.1 / D15.1 / D36.1 / D38.1 / D40.1 / H8.1 / H13.2 / K2.3 / K5.3 / K6.1 / K6.3 / K8.1 / K8.3 / K9.1 / K9.3 / K11.1 / K11.3 / K12.1 / K13.1 / K14.1 / Q2.3 / Q3.3 / Q4.3 / R8.2 / R26.2 / R30.2 / R34.2</x:v>
      </x:c>
      <x:c r="L39" s="28" t="s">
        <x:v>174</x:v>
      </x:c>
      <x:c r="M39" s="18"/>
    </x:row>
    <x:row r="40" ht="27.200000762939453">
      <x:c r="A40" s="16" t="s">
        <x:v>119</x:v>
      </x:c>
      <x:c r="B40" s="17">
        <x:v>16</x:v>
      </x:c>
      <x:c r="C40" s="17" t="str">
        <x:v>ASMS_VCU</x:v>
      </x:c>
      <x:c r="D40" s="17" t="s">
        <x:v>48</x:v>
      </x:c>
      <x:c r="E40" s="17" t="s">
        <x:v>149</x:v>
      </x:c>
      <x:c r="F40" s="17" t="s">
        <x:v>175</x:v>
      </x:c>
      <x:c r="G40" s="17" t="s">
        <x:v>176</x:v>
      </x:c>
      <x:c r="H40" s="17" t="s">
        <x:v>177</x:v>
      </x:c>
      <x:c r="I40" s="17" t="s">
        <x:v>178</x:v>
      </x:c>
      <x:c r="J40" s="17" t="s">
        <x:v>179</x:v>
      </x:c>
      <x:c r="K40" s="17" t="str">
        <x:v>CN8.16 / Q2.2 / R38.2</x:v>
      </x:c>
      <x:c r="L40" s="28" t="s">
        <x:v>155</x:v>
      </x:c>
      <x:c r="M40" s="18"/>
    </x:row>
    <x:row r="41" ht="27.850000381469727" customHeight="1">
      <x:c r="A41" s="16" t="s">
        <x:v>119</x:v>
      </x:c>
      <x:c r="B41" s="17">
        <x:v>17</x:v>
      </x:c>
      <x:c r="C41" s="17" t="str">
        <x:v>GND</x:v>
      </x:c>
      <x:c r="D41" s="17" t="s">
        <x:v>87</x:v>
      </x:c>
      <x:c r="E41" s="17" t="s">
        <x:v>88</x:v>
      </x:c>
      <x:c r="F41" s="17" t="s">
        <x:v>89</x:v>
      </x:c>
      <x:c r="G41" s="17" t="s">
        <x:v>90</x:v>
      </x:c>
      <x:c r="H41" s="17" t="s">
        <x:v>90</x:v>
      </x:c>
      <x:c r="I41" s="17" t="s">
        <x:v>180</x:v>
      </x:c>
      <x:c r="J41" s="17" t="s">
        <x:v>181</x:v>
      </x:c>
      <x:c r="K41" s="17" t="str">
        <x:v>C1.1 / C2.1 / C3.1 / C4.1 / C5.1 / CN7.10 / CN7.11 / CN7.13 / CN7.14 / CN8.6 / CN8.13 / CN8.17 / D9.2 / D16.2 / D17.2 / D21.2 / D22.2 / D23.2 / D35.2 / D37.2 / D39.2 / H1.2 / H2.2 / H7.2 / H8.2 / H13.1 / K2.1 / K5.1 / K7.1 / K7.3 / K12.2 / K13.2 / K14.2 / R17.1 / R18.1 / R19.1 / R37.1 / R38.1 / R39.1 / RELAY1.1 / U15.2 / U15.3 / U16.2 / U17.2 / U18.2 / U19.2 / U19.3 / U20.2 / U20.3</x:v>
      </x:c>
      <x:c r="L41" s="22" t="s">
        <x:v>55</x:v>
      </x:c>
      <x:c r="M41" s="18"/>
    </x:row>
    <x:row r="42" ht="27.200000762939453">
      <x:c r="A42" s="16" t="s">
        <x:v>119</x:v>
      </x:c>
      <x:c r="B42" s="17">
        <x:v>18</x:v>
      </x:c>
      <x:c r="C42" s="17" t="str">
        <x:v>ISDC_ASRL</x:v>
      </x:c>
      <x:c r="D42" s="17" t="s">
        <x:v>48</x:v>
      </x:c>
      <x:c r="E42" s="17" t="s">
        <x:v>182</x:v>
      </x:c>
      <x:c r="F42" s="17" t="s">
        <x:v>183</x:v>
      </x:c>
      <x:c r="G42" s="17" t="s">
        <x:v>184</x:v>
      </x:c>
      <x:c r="H42" s="17" t="s">
        <x:v>185</x:v>
      </x:c>
      <x:c r="I42" s="17" t="s">
        <x:v>186</x:v>
      </x:c>
      <x:c r="J42" s="17" t="s">
        <x:v>187</x:v>
      </x:c>
      <x:c r="K42" s="17" t="str">
        <x:v>CN8.18 / RELAY1.3</x:v>
      </x:c>
      <x:c r="L42" s="22" t="s">
        <x:v>55</x:v>
      </x:c>
      <x:c r="M42" s="18"/>
    </x:row>
    <x:row r="43" ht="27.200000762939453">
      <x:c r="A43" s="16" t="s">
        <x:v>119</x:v>
      </x:c>
      <x:c r="B43" s="17">
        <x:v>19</x:v>
      </x:c>
      <x:c r="C43" s="17" t="str">
        <x:v>OSDC_ASRL</x:v>
      </x:c>
      <x:c r="D43" s="17" t="s">
        <x:v>48</x:v>
      </x:c>
      <x:c r="E43" s="17" t="s">
        <x:v>188</x:v>
      </x:c>
      <x:c r="F43" s="17" t="s">
        <x:v>189</x:v>
      </x:c>
      <x:c r="G43" s="17" t="s">
        <x:v>190</x:v>
      </x:c>
      <x:c r="H43" s="17" t="s">
        <x:v>191</x:v>
      </x:c>
      <x:c r="I43" s="17" t="s">
        <x:v>192</x:v>
      </x:c>
      <x:c r="J43" s="17" t="s">
        <x:v>193</x:v>
      </x:c>
      <x:c r="K43" s="17" t="str">
        <x:v>CN8.19 / RELAY1.5</x:v>
      </x:c>
      <x:c r="L43" s="24" t="s">
        <x:v>67</x:v>
      </x:c>
      <x:c r="M43" s="18"/>
    </x:row>
    <x:row r="44" ht="27.200000762939453">
      <x:c r="A44" s="16" t="s">
        <x:v>119</x:v>
      </x:c>
      <x:c r="B44" s="17">
        <x:v>20</x:v>
      </x:c>
      <x:c r="C44" s="17" t="str">
        <x:v>AS_PWR</x:v>
      </x:c>
      <x:c r="D44" s="17" t="s">
        <x:v>96</x:v>
      </x:c>
      <x:c r="E44" s="17" t="s">
        <x:v>194</x:v>
      </x:c>
      <x:c r="F44" s="17" t="s">
        <x:v>195</x:v>
      </x:c>
      <x:c r="G44" s="17" t="s">
        <x:v>196</x:v>
      </x:c>
      <x:c r="H44" s="17" t="s">
        <x:v>197</x:v>
      </x:c>
      <x:c r="I44" s="17" t="s">
        <x:v>198</x:v>
      </x:c>
      <x:c r="J44" s="17" t="s">
        <x:v>199</x:v>
      </x:c>
      <x:c r="K44" s="17" t="str">
        <x:v>CN8.20 / RELAY1.6</x:v>
      </x:c>
      <x:c r="L44" s="24" t="s">
        <x:v>67</x:v>
      </x:c>
      <x:c r="M44" s="18"/>
    </x:row>
    <x:row r="45" ht="14.300000190734863">
      <x:c r="A45" s="16" t="s">
        <x:v>200</x:v>
      </x:c>
      <x:c r="B45" s="17">
        <x:v>1</x:v>
      </x:c>
      <x:c r="C45" s="17" t="str">
        <x:v>MAINN_ACTUAL</x:v>
      </x:c>
      <x:c r="D45" s="17" t="s">
        <x:v>201</x:v>
      </x:c>
      <x:c r="E45" s="17" t="str">
        <x:v>继电器辅助触点检测逻辑（47Ω串联）</x:v>
      </x:c>
      <x:c r="F45" s="17" t="s">
        <x:v>202</x:v>
      </x:c>
      <x:c r="G45" s="17" t="s">
        <x:v>203</x:v>
      </x:c>
      <x:c r="H45" s="17" t="s">
        <x:v>204</x:v>
      </x:c>
      <x:c r="I45" s="17" t="str">
        <x:v>CN9.1→R42(47Ω)→H20.1 MAINN_ACTUAL</x:v>
      </x:c>
      <x:c r="J45" s="17" t="s">
        <x:v>205</x:v>
      </x:c>
      <x:c r="K45" s="17" t="str">
        <x:v>CN9.1 / R42.2</x:v>
      </x:c>
      <x:c r="L45" s="22" t="s">
        <x:v>55</x:v>
      </x:c>
      <x:c r="M45" s="18" t="str">
        <x:v>新版增加47Ω串联电阻</x:v>
      </x:c>
    </x:row>
    <x:row r="46" ht="14.300000190734863">
      <x:c r="A46" s="16" t="s">
        <x:v>200</x:v>
      </x:c>
      <x:c r="B46" s="17">
        <x:v>2</x:v>
      </x:c>
      <x:c r="C46" s="17" t="str">
        <x:v>MAINN#</x:v>
      </x:c>
      <x:c r="D46" s="17" t="s">
        <x:v>201</x:v>
      </x:c>
      <x:c r="E46" s="17" t="str">
        <x:v>继电器辅助触点检测逻辑（47Ω串联）</x:v>
      </x:c>
      <x:c r="F46" s="17" t="s">
        <x:v>206</x:v>
      </x:c>
      <x:c r="G46" s="17" t="s">
        <x:v>207</x:v>
      </x:c>
      <x:c r="H46" s="17" t="s">
        <x:v>208</x:v>
      </x:c>
      <x:c r="I46" s="17" t="str">
        <x:v>CN9.2→R47(47Ω)→H20.2 MAINN#</x:v>
      </x:c>
      <x:c r="J46" s="17" t="s">
        <x:v>205</x:v>
      </x:c>
      <x:c r="K46" s="17" t="str">
        <x:v>CN9.2 / R47.1</x:v>
      </x:c>
      <x:c r="L46" s="22" t="s">
        <x:v>55</x:v>
      </x:c>
      <x:c r="M46" s="18" t="str">
        <x:v>新版增加47Ω串联电阻</x:v>
      </x:c>
    </x:row>
    <x:row r="47" ht="14.300000190734863">
      <x:c r="A47" s="16" t="s">
        <x:v>200</x:v>
      </x:c>
      <x:c r="B47" s="17">
        <x:v>3</x:v>
      </x:c>
      <x:c r="C47" s="17" t="str">
        <x:v>PRE#</x:v>
      </x:c>
      <x:c r="D47" s="17" t="s">
        <x:v>201</x:v>
      </x:c>
      <x:c r="E47" s="17" t="str">
        <x:v>继电器辅助触点检测逻辑（47Ω串联）</x:v>
      </x:c>
      <x:c r="F47" s="17" t="s">
        <x:v>206</x:v>
      </x:c>
      <x:c r="G47" s="17" t="s">
        <x:v>209</x:v>
      </x:c>
      <x:c r="H47" s="17" t="s">
        <x:v>210</x:v>
      </x:c>
      <x:c r="I47" s="17" t="str">
        <x:v>CN9.3→R43(47Ω)→H18.1 PRE#</x:v>
      </x:c>
      <x:c r="J47" s="17" t="s">
        <x:v>205</x:v>
      </x:c>
      <x:c r="K47" s="17" t="str">
        <x:v>CN9.3 / R43.2</x:v>
      </x:c>
      <x:c r="L47" s="22" t="s">
        <x:v>55</x:v>
      </x:c>
      <x:c r="M47" s="18" t="str">
        <x:v>新版增加47Ω串联电阻</x:v>
      </x:c>
    </x:row>
    <x:row r="48" ht="27.200000762939453">
      <x:c r="A48" s="16" t="s">
        <x:v>200</x:v>
      </x:c>
      <x:c r="B48" s="17">
        <x:v>4</x:v>
      </x:c>
      <x:c r="C48" s="17" t="str">
        <x:v>OIL4</x:v>
      </x:c>
      <x:c r="D48" s="17" t="s">
        <x:v>120</x:v>
      </x:c>
      <x:c r="E48" s="17" t="str">
        <x:v>模拟传感器输入（100nF并联滤波）</x:v>
      </x:c>
      <x:c r="F48" s="17" t="s">
        <x:v>211</x:v>
      </x:c>
      <x:c r="G48" s="17" t="s">
        <x:v>212</x:v>
      </x:c>
      <x:c r="H48" s="17" t="s">
        <x:v>213</x:v>
      </x:c>
      <x:c r="I48" s="17" t="str">
        <x:v>CN9.4直通H5.1，C4=100nF对GND滤波</x:v>
      </x:c>
      <x:c r="J48" s="17" t="s">
        <x:v>214</x:v>
      </x:c>
      <x:c r="K48" s="17" t="str">
        <x:v>C4.2 / CN9.4 / H5.1</x:v>
      </x:c>
      <x:c r="L48" s="22" t="s">
        <x:v>55</x:v>
      </x:c>
      <x:c r="M48" s="18" t="str">
        <x:v>新版增加100nF输入滤波</x:v>
      </x:c>
    </x:row>
    <x:row r="49" ht="14.300000190734863">
      <x:c r="A49" s="16" t="s">
        <x:v>200</x:v>
      </x:c>
      <x:c r="B49" s="17">
        <x:v>5</x:v>
      </x:c>
      <x:c r="C49" s="17" t="str">
        <x:v>PRE_ACTUAL</x:v>
      </x:c>
      <x:c r="D49" s="17" t="s">
        <x:v>201</x:v>
      </x:c>
      <x:c r="E49" s="17" t="str">
        <x:v>继电器辅助触点检测逻辑（47Ω串联）</x:v>
      </x:c>
      <x:c r="F49" s="17" t="s">
        <x:v>202</x:v>
      </x:c>
      <x:c r="G49" s="17" t="s">
        <x:v>215</x:v>
      </x:c>
      <x:c r="H49" s="17" t="s">
        <x:v>216</x:v>
      </x:c>
      <x:c r="I49" s="17" t="str">
        <x:v>CN9.5→R44(47Ω)→H18.2 PRE_ACTUAL</x:v>
      </x:c>
      <x:c r="J49" s="17" t="s">
        <x:v>205</x:v>
      </x:c>
      <x:c r="K49" s="17" t="str">
        <x:v>CN9.5 / R44.2</x:v>
      </x:c>
      <x:c r="L49" s="22" t="s">
        <x:v>55</x:v>
      </x:c>
      <x:c r="M49" s="18" t="str">
        <x:v>新版增加47Ω串联电阻</x:v>
      </x:c>
    </x:row>
    <x:row r="50" ht="27.200000762939453">
      <x:c r="A50" s="16" t="s">
        <x:v>200</x:v>
      </x:c>
      <x:c r="B50" s="17">
        <x:v>6</x:v>
      </x:c>
      <x:c r="C50" s="17" t="str">
        <x:v>OIL3</x:v>
      </x:c>
      <x:c r="D50" s="17" t="s">
        <x:v>120</x:v>
      </x:c>
      <x:c r="E50" s="17" t="str">
        <x:v>模拟传感器输入（100nF并联滤波）</x:v>
      </x:c>
      <x:c r="F50" s="17" t="s">
        <x:v>211</x:v>
      </x:c>
      <x:c r="G50" s="17" t="s">
        <x:v>212</x:v>
      </x:c>
      <x:c r="H50" s="17" t="s">
        <x:v>213</x:v>
      </x:c>
      <x:c r="I50" s="17" t="str">
        <x:v>CN9.6直通H5.2，C3=100nF对GND滤波</x:v>
      </x:c>
      <x:c r="J50" s="17" t="s">
        <x:v>214</x:v>
      </x:c>
      <x:c r="K50" s="17" t="str">
        <x:v>C3.2 / CN9.6 / H5.2</x:v>
      </x:c>
      <x:c r="L50" s="22" t="s">
        <x:v>55</x:v>
      </x:c>
      <x:c r="M50" s="18" t="str">
        <x:v>新版增加100nF输入滤波</x:v>
      </x:c>
    </x:row>
    <x:row r="51" ht="14.300000190734863">
      <x:c r="A51" s="16" t="s">
        <x:v>200</x:v>
      </x:c>
      <x:c r="B51" s="17">
        <x:v>7</x:v>
      </x:c>
      <x:c r="C51" s="17" t="str">
        <x:v>MAINP#</x:v>
      </x:c>
      <x:c r="D51" s="17" t="s">
        <x:v>201</x:v>
      </x:c>
      <x:c r="E51" s="17" t="str">
        <x:v>继电器辅助触点检测逻辑（47Ω串联）</x:v>
      </x:c>
      <x:c r="F51" s="17" t="s">
        <x:v>206</x:v>
      </x:c>
      <x:c r="G51" s="17" t="s">
        <x:v>217</x:v>
      </x:c>
      <x:c r="H51" s="17" t="s">
        <x:v>218</x:v>
      </x:c>
      <x:c r="I51" s="17" t="str">
        <x:v>CN9.7→R45(47Ω)→H16.1 MAINP#</x:v>
      </x:c>
      <x:c r="J51" s="17" t="s">
        <x:v>205</x:v>
      </x:c>
      <x:c r="K51" s="17" t="str">
        <x:v>CN9.7 / R45.2</x:v>
      </x:c>
      <x:c r="L51" s="22" t="s">
        <x:v>55</x:v>
      </x:c>
      <x:c r="M51" s="18" t="str">
        <x:v>新版增加47Ω串联电阻</x:v>
      </x:c>
    </x:row>
    <x:row r="52" ht="27.200000762939453">
      <x:c r="A52" s="16" t="s">
        <x:v>200</x:v>
      </x:c>
      <x:c r="B52" s="17">
        <x:v>8</x:v>
      </x:c>
      <x:c r="C52" s="17" t="str">
        <x:v>OIL2</x:v>
      </x:c>
      <x:c r="D52" s="17" t="s">
        <x:v>120</x:v>
      </x:c>
      <x:c r="E52" s="17" t="str">
        <x:v>模拟传感器输入（100nF并联滤波）</x:v>
      </x:c>
      <x:c r="F52" s="17" t="s">
        <x:v>211</x:v>
      </x:c>
      <x:c r="G52" s="17" t="s">
        <x:v>212</x:v>
      </x:c>
      <x:c r="H52" s="17" t="s">
        <x:v>213</x:v>
      </x:c>
      <x:c r="I52" s="17" t="str">
        <x:v>CN9.8直通H5.3，C2=100nF对GND滤波</x:v>
      </x:c>
      <x:c r="J52" s="17" t="s">
        <x:v>214</x:v>
      </x:c>
      <x:c r="K52" s="17" t="str">
        <x:v>C2.2 / CN9.8 / H5.3</x:v>
      </x:c>
      <x:c r="L52" s="22" t="s">
        <x:v>55</x:v>
      </x:c>
      <x:c r="M52" s="18" t="str">
        <x:v>新版增加100nF输入滤波</x:v>
      </x:c>
    </x:row>
    <x:row r="53" ht="14.300000190734863">
      <x:c r="A53" s="16" t="s">
        <x:v>200</x:v>
      </x:c>
      <x:c r="B53" s="17">
        <x:v>9</x:v>
      </x:c>
      <x:c r="C53" s="17" t="str">
        <x:v>MAINP_ACTUAL</x:v>
      </x:c>
      <x:c r="D53" s="17" t="s">
        <x:v>201</x:v>
      </x:c>
      <x:c r="E53" s="17" t="str">
        <x:v>继电器辅助触点检测逻辑（47Ω串联）</x:v>
      </x:c>
      <x:c r="F53" s="17" t="s">
        <x:v>202</x:v>
      </x:c>
      <x:c r="G53" s="17" t="s">
        <x:v>219</x:v>
      </x:c>
      <x:c r="H53" s="17" t="s">
        <x:v>220</x:v>
      </x:c>
      <x:c r="I53" s="17" t="str">
        <x:v>CN9.9→R46(47Ω)→H16.2 MAINP_ACTUAL</x:v>
      </x:c>
      <x:c r="J53" s="17" t="s">
        <x:v>205</x:v>
      </x:c>
      <x:c r="K53" s="17" t="str">
        <x:v>CN9.9 / R46.2</x:v>
      </x:c>
      <x:c r="L53" s="22" t="s">
        <x:v>55</x:v>
      </x:c>
      <x:c r="M53" s="18" t="str">
        <x:v>新版增加47Ω串联电阻</x:v>
      </x:c>
    </x:row>
    <x:row r="54" ht="27.200000762939453">
      <x:c r="A54" s="16" t="s">
        <x:v>200</x:v>
      </x:c>
      <x:c r="B54" s="17">
        <x:v>10</x:v>
      </x:c>
      <x:c r="C54" s="17" t="str">
        <x:v>OIL1</x:v>
      </x:c>
      <x:c r="D54" s="17" t="s">
        <x:v>120</x:v>
      </x:c>
      <x:c r="E54" s="17" t="str">
        <x:v>模拟传感器输入（100nF并联滤波）</x:v>
      </x:c>
      <x:c r="F54" s="17" t="s">
        <x:v>211</x:v>
      </x:c>
      <x:c r="G54" s="17" t="s">
        <x:v>212</x:v>
      </x:c>
      <x:c r="H54" s="17" t="s">
        <x:v>213</x:v>
      </x:c>
      <x:c r="I54" s="17" t="str">
        <x:v>CN9.10直通H5.4，C1=100nF对GND滤波</x:v>
      </x:c>
      <x:c r="J54" s="17" t="s">
        <x:v>214</x:v>
      </x:c>
      <x:c r="K54" s="17" t="str">
        <x:v>C1.2 / CN9.10 / H5.4</x:v>
      </x:c>
      <x:c r="L54" s="22" t="s">
        <x:v>55</x:v>
      </x:c>
      <x:c r="M54" s="18" t="str">
        <x:v>新版增加100nF输入滤波</x:v>
      </x:c>
    </x:row>
    <x:row r="55" ht="14.300000190734863">
      <x:c r="A55" s="16" t="s">
        <x:v>221</x:v>
      </x:c>
      <x:c r="B55" s="17">
        <x:v>1</x:v>
      </x:c>
      <x:c r="C55" s="17" t="s">
        <x:v>222</x:v>
      </x:c>
      <x:c r="D55" s="17" t="s">
        <x:v>223</x:v>
      </x:c>
      <x:c r="E55" s="17" t="s">
        <x:v>224</x:v>
      </x:c>
      <x:c r="F55" s="17" t="s">
        <x:v>90</x:v>
      </x:c>
      <x:c r="G55" s="17" t="s">
        <x:v>90</x:v>
      </x:c>
      <x:c r="H55" s="17" t="s">
        <x:v>90</x:v>
      </x:c>
      <x:c r="I55" s="17" t="s">
        <x:v>225</x:v>
      </x:c>
      <x:c r="J55" s="17" t="s">
        <x:v>226</x:v>
      </x:c>
      <x:c r="K55" s="17" t="str">
        <x:v>无网络</x:v>
      </x:c>
      <x:c r="L55" s="26" t="s">
        <x:v>222</x:v>
      </x:c>
      <x:c r="M55" s="18"/>
    </x:row>
    <x:row r="56" ht="27.200000762939453">
      <x:c r="A56" s="16" t="s">
        <x:v>221</x:v>
      </x:c>
      <x:c r="B56" s="17">
        <x:v>2</x:v>
      </x:c>
      <x:c r="C56" s="17" t="str">
        <x:v>CURRENT</x:v>
      </x:c>
      <x:c r="D56" s="17" t="s">
        <x:v>120</x:v>
      </x:c>
      <x:c r="E56" s="17" t="str">
        <x:v>模拟传感器输入（100nF并联滤波）</x:v>
      </x:c>
      <x:c r="F56" s="17" t="s">
        <x:v>227</x:v>
      </x:c>
      <x:c r="G56" s="17" t="s">
        <x:v>228</x:v>
      </x:c>
      <x:c r="H56" s="17" t="s">
        <x:v>229</x:v>
      </x:c>
      <x:c r="I56" s="17" t="str">
        <x:v>CN10.2直通H7.1，C5=100nF对GND滤波</x:v>
      </x:c>
      <x:c r="J56" s="17" t="s">
        <x:v>230</x:v>
      </x:c>
      <x:c r="K56" s="17" t="str">
        <x:v>C5.2 / CN10.2 / H7.1</x:v>
      </x:c>
      <x:c r="L56" s="22" t="s">
        <x:v>55</x:v>
      </x:c>
      <x:c r="M56" s="18" t="str">
        <x:v>新版增加100nF输入滤波</x:v>
      </x:c>
    </x:row>
    <x:row r="57" ht="14.300000190734863">
      <x:c r="A57" s="16" t="s">
        <x:v>221</x:v>
      </x:c>
      <x:c r="B57" s="17">
        <x:v>3</x:v>
      </x:c>
      <x:c r="C57" s="17" t="str">
        <x:v>V_BATTERY</x:v>
      </x:c>
      <x:c r="D57" s="17" t="s">
        <x:v>120</x:v>
      </x:c>
      <x:c r="E57" s="17" t="s">
        <x:v>231</x:v>
      </x:c>
      <x:c r="F57" s="17" t="s">
        <x:v>232</x:v>
      </x:c>
      <x:c r="G57" s="17" t="s">
        <x:v>233</x:v>
      </x:c>
      <x:c r="H57" s="17" t="s">
        <x:v>234</x:v>
      </x:c>
      <x:c r="I57" s="17" t="s">
        <x:v>235</x:v>
      </x:c>
      <x:c r="J57" s="17" t="s">
        <x:v>236</x:v>
      </x:c>
      <x:c r="K57" s="17" t="str">
        <x:v>CN10.3 / H15.2</x:v>
      </x:c>
      <x:c r="L57" s="22" t="s">
        <x:v>55</x:v>
      </x:c>
      <x:c r="M57" s="18"/>
    </x:row>
    <x:row r="58" ht="14.300000190734863">
      <x:c r="A58" s="16" t="s">
        <x:v>221</x:v>
      </x:c>
      <x:c r="B58" s="17">
        <x:v>4</x:v>
      </x:c>
      <x:c r="C58" s="17" t="s">
        <x:v>222</x:v>
      </x:c>
      <x:c r="D58" s="17" t="s">
        <x:v>223</x:v>
      </x:c>
      <x:c r="E58" s="17" t="s">
        <x:v>224</x:v>
      </x:c>
      <x:c r="F58" s="17" t="s">
        <x:v>90</x:v>
      </x:c>
      <x:c r="G58" s="17" t="s">
        <x:v>90</x:v>
      </x:c>
      <x:c r="H58" s="17" t="s">
        <x:v>90</x:v>
      </x:c>
      <x:c r="I58" s="17" t="s">
        <x:v>225</x:v>
      </x:c>
      <x:c r="J58" s="17" t="s">
        <x:v>226</x:v>
      </x:c>
      <x:c r="K58" s="17" t="str">
        <x:v>无网络</x:v>
      </x:c>
      <x:c r="L58" s="26" t="s">
        <x:v>222</x:v>
      </x:c>
      <x:c r="M58" s="18"/>
    </x:row>
    <x:row r="59" ht="14.300000190734863">
      <x:c r="A59" s="16" t="s">
        <x:v>221</x:v>
      </x:c>
      <x:c r="B59" s="17">
        <x:v>5</x:v>
      </x:c>
      <x:c r="C59" s="17" t="str">
        <x:v>GREEN_OUT_K</x:v>
      </x:c>
      <x:c r="D59" s="17" t="s">
        <x:v>201</x:v>
      </x:c>
      <x:c r="E59" s="17" t="s">
        <x:v>237</x:v>
      </x:c>
      <x:c r="F59" s="17" t="s">
        <x:v>238</x:v>
      </x:c>
      <x:c r="G59" s="17" t="s">
        <x:v>239</x:v>
      </x:c>
      <x:c r="H59" s="17" t="s">
        <x:v>240</x:v>
      </x:c>
      <x:c r="I59" s="17" t="s">
        <x:v>241</x:v>
      </x:c>
      <x:c r="J59" s="17" t="s">
        <x:v>242</x:v>
      </x:c>
      <x:c r="K59" s="17" t="str">
        <x:v>CN10.5 / H14.1</x:v>
      </x:c>
      <x:c r="L59" s="22" t="s">
        <x:v>55</x:v>
      </x:c>
      <x:c r="M59" s="18"/>
    </x:row>
    <x:row r="60" ht="14.300000190734863">
      <x:c r="A60" s="16" t="s">
        <x:v>221</x:v>
      </x:c>
      <x:c r="B60" s="17">
        <x:v>6</x:v>
      </x:c>
      <x:c r="C60" s="17" t="s">
        <x:v>222</x:v>
      </x:c>
      <x:c r="D60" s="17" t="s">
        <x:v>223</x:v>
      </x:c>
      <x:c r="E60" s="17" t="s">
        <x:v>224</x:v>
      </x:c>
      <x:c r="F60" s="17" t="s">
        <x:v>90</x:v>
      </x:c>
      <x:c r="G60" s="17" t="s">
        <x:v>90</x:v>
      </x:c>
      <x:c r="H60" s="17" t="s">
        <x:v>90</x:v>
      </x:c>
      <x:c r="I60" s="17" t="s">
        <x:v>225</x:v>
      </x:c>
      <x:c r="J60" s="17" t="s">
        <x:v>226</x:v>
      </x:c>
      <x:c r="K60" s="17" t="str">
        <x:v>无网络</x:v>
      </x:c>
      <x:c r="L60" s="26" t="s">
        <x:v>222</x:v>
      </x:c>
      <x:c r="M60" s="18"/>
    </x:row>
    <x:row r="61" ht="14.300000190734863">
      <x:c r="A61" s="16" t="s">
        <x:v>221</x:v>
      </x:c>
      <x:c r="B61" s="17">
        <x:v>7</x:v>
      </x:c>
      <x:c r="C61" s="17" t="str">
        <x:v>RED_OUT_K</x:v>
      </x:c>
      <x:c r="D61" s="17" t="s">
        <x:v>201</x:v>
      </x:c>
      <x:c r="E61" s="17" t="s">
        <x:v>243</x:v>
      </x:c>
      <x:c r="F61" s="17" t="s">
        <x:v>238</x:v>
      </x:c>
      <x:c r="G61" s="17" t="s">
        <x:v>244</x:v>
      </x:c>
      <x:c r="H61" s="17" t="s">
        <x:v>240</x:v>
      </x:c>
      <x:c r="I61" s="17" t="s">
        <x:v>245</x:v>
      </x:c>
      <x:c r="J61" s="17" t="s">
        <x:v>246</x:v>
      </x:c>
      <x:c r="K61" s="17" t="str">
        <x:v>CN10.7 / H14.2</x:v>
      </x:c>
      <x:c r="L61" s="22" t="s">
        <x:v>55</x:v>
      </x:c>
      <x:c r="M61" s="18"/>
    </x:row>
    <x:row r="62" ht="14.300000190734863">
      <x:c r="A62" s="16" t="s">
        <x:v>221</x:v>
      </x:c>
      <x:c r="B62" s="17">
        <x:v>8</x:v>
      </x:c>
      <x:c r="C62" s="17" t="s">
        <x:v>222</x:v>
      </x:c>
      <x:c r="D62" s="17" t="s">
        <x:v>223</x:v>
      </x:c>
      <x:c r="E62" s="17" t="s">
        <x:v>224</x:v>
      </x:c>
      <x:c r="F62" s="17" t="s">
        <x:v>90</x:v>
      </x:c>
      <x:c r="G62" s="17" t="s">
        <x:v>90</x:v>
      </x:c>
      <x:c r="H62" s="17" t="s">
        <x:v>90</x:v>
      </x:c>
      <x:c r="I62" s="17" t="s">
        <x:v>225</x:v>
      </x:c>
      <x:c r="J62" s="17" t="s">
        <x:v>226</x:v>
      </x:c>
      <x:c r="K62" s="17" t="str">
        <x:v>无网络</x:v>
      </x:c>
      <x:c r="L62" s="26" t="s">
        <x:v>222</x:v>
      </x:c>
      <x:c r="M62" s="18"/>
    </x:row>
    <x:row r="63" ht="14.300000190734863">
      <x:c r="A63" s="16" t="s">
        <x:v>221</x:v>
      </x:c>
      <x:c r="B63" s="17">
        <x:v>9</x:v>
      </x:c>
      <x:c r="C63" s="17" t="str">
        <x:v>V_CONTROLLER</x:v>
      </x:c>
      <x:c r="D63" s="17" t="s">
        <x:v>120</x:v>
      </x:c>
      <x:c r="E63" s="17" t="s">
        <x:v>231</x:v>
      </x:c>
      <x:c r="F63" s="17" t="s">
        <x:v>232</x:v>
      </x:c>
      <x:c r="G63" s="17" t="s">
        <x:v>247</x:v>
      </x:c>
      <x:c r="H63" s="17" t="s">
        <x:v>248</x:v>
      </x:c>
      <x:c r="I63" s="17" t="s">
        <x:v>249</x:v>
      </x:c>
      <x:c r="J63" s="17" t="s">
        <x:v>250</x:v>
      </x:c>
      <x:c r="K63" s="17" t="str">
        <x:v>CN10.9 / H10.2</x:v>
      </x:c>
      <x:c r="L63" s="22" t="s">
        <x:v>55</x:v>
      </x:c>
      <x:c r="M63" s="18"/>
    </x:row>
    <x:row r="64" ht="14.300000190734863">
      <x:c r="A64" s="16" t="s">
        <x:v>221</x:v>
      </x:c>
      <x:c r="B64" s="17">
        <x:v>10</x:v>
      </x:c>
      <x:c r="C64" s="17" t="str">
        <x:v>+24VIN</x:v>
      </x:c>
      <x:c r="D64" s="17" t="s">
        <x:v>167</x:v>
      </x:c>
      <x:c r="E64" s="17" t="s">
        <x:v>251</x:v>
      </x:c>
      <x:c r="F64" s="17" t="s">
        <x:v>252</x:v>
      </x:c>
      <x:c r="G64" s="17" t="s">
        <x:v>253</x:v>
      </x:c>
      <x:c r="H64" s="17" t="s">
        <x:v>254</x:v>
      </x:c>
      <x:c r="I64" s="17" t="s">
        <x:v>255</x:v>
      </x:c>
      <x:c r="J64" s="17" t="s">
        <x:v>256</x:v>
      </x:c>
      <x:c r="K64" s="17" t="str">
        <x:v>CN10.10 / H2.1 / H6.1</x:v>
      </x:c>
      <x:c r="L64" s="22" t="s">
        <x:v>55</x:v>
      </x:c>
      <x:c r="M64" s="18"/>
    </x:row>
    <x:row r="65" ht="27.850000381469727" customHeight="1">
      <x:c r="A65" s="16" t="s">
        <x:v>257</x:v>
      </x:c>
      <x:c r="B65" s="17">
        <x:v>1</x:v>
      </x:c>
      <x:c r="C65" s="17" t="str">
        <x:v>VCU_WDI</x:v>
      </x:c>
      <x:c r="D65" s="17" t="s">
        <x:v>120</x:v>
      </x:c>
      <x:c r="E65" s="17" t="s">
        <x:v>258</x:v>
      </x:c>
      <x:c r="F65" s="38" t="s">
        <x:v>259</x:v>
      </x:c>
      <x:c r="G65" s="17" t="s">
        <x:v>260</x:v>
      </x:c>
      <x:c r="H65" s="17" t="s">
        <x:v>261</x:v>
      </x:c>
      <x:c r="I65" s="17" t="s">
        <x:v>262</x:v>
      </x:c>
      <x:c r="J65" s="17" t="s">
        <x:v>263</x:v>
      </x:c>
      <x:c r="K65" s="17" t="str">
        <x:v>CN11.1 / H4.1</x:v>
      </x:c>
      <x:c r="L65" s="22" t="s">
        <x:v>55</x:v>
      </x:c>
      <x:c r="M65" s="18"/>
    </x:row>
    <x:row r="66" ht="27.200000762939453">
      <x:c r="A66" s="16" t="s">
        <x:v>257</x:v>
      </x:c>
      <x:c r="B66" s="17">
        <x:v>2</x:v>
      </x:c>
      <x:c r="C66" s="17" t="str">
        <x:v>RES_ERROR</x:v>
      </x:c>
      <x:c r="D66" s="17" t="s">
        <x:v>96</x:v>
      </x:c>
      <x:c r="E66" s="17" t="str">
        <x:v>直通输入（调理在锁存板）</x:v>
      </x:c>
      <x:c r="F66" s="17" t="str">
        <x:v>外部电平直通至锁存板</x:v>
      </x:c>
      <x:c r="G66" s="17" t="str">
        <x:v>CN11.2直接送H9.2，低有效故障逻辑及输入调理由锁存板完成</x:v>
      </x:c>
      <x:c r="H66" s="17" t="str">
        <x:v>断线/异常电平行为由锁存板输入调理电路决定</x:v>
      </x:c>
      <x:c r="I66" s="17" t="str">
        <x:v>CN11.2与H9.2直连；调理网络位于锁存板</x:v>
      </x:c>
      <x:c r="J66" s="17" t="str">
        <x:v>按锁存板输入额定、线束规范和测试要求接入</x:v>
      </x:c>
      <x:c r="K66" s="17" t="str">
        <x:v>CN11.2 / H9.2</x:v>
      </x:c>
      <x:c r="L66" s="59" t="str">
        <x:v>正常</x:v>
      </x:c>
      <x:c r="M66" s="18" t="str">
        <x:v>基板无需重复设置输入调理</x:v>
      </x:c>
    </x:row>
    <x:row r="67" ht="27.200000762939453">
      <x:c r="A67" s="16" t="s">
        <x:v>257</x:v>
      </x:c>
      <x:c r="B67" s="17">
        <x:v>3</x:v>
      </x:c>
      <x:c r="C67" s="17" t="str">
        <x:v>EBS_TRIG_IN（网表$1N393）</x:v>
      </x:c>
      <x:c r="D67" s="17" t="s">
        <x:v>96</x:v>
      </x:c>
      <x:c r="E67" s="17" t="s">
        <x:v>264</x:v>
      </x:c>
      <x:c r="F67" s="17" t="s">
        <x:v>265</x:v>
      </x:c>
      <x:c r="G67" s="17" t="s">
        <x:v>266</x:v>
      </x:c>
      <x:c r="H67" s="17" t="s">
        <x:v>267</x:v>
      </x:c>
      <x:c r="I67" s="17" t="str">
        <x:v>CN11.3→R7→D21 4.7V钳位节点→R41→H4.2 EBS_TRIG</x:v>
      </x:c>
      <x:c r="J67" s="17" t="str">
        <x:v>确认EBS板高有效逻辑；建议在原理图命名连接器侧网络</x:v>
      </x:c>
      <x:c r="K67" s="17" t="str">
        <x:v>CN11.3 / R7.2</x:v>
      </x:c>
      <x:c r="L67" s="36" t="str">
        <x:v>需设计确认</x:v>
      </x:c>
      <x:c r="M67" s="18" t="str">
        <x:v>连接器侧网络仍为自动名$1N393</x:v>
      </x:c>
    </x:row>
    <x:row r="68" ht="14.300000190734863">
      <x:c r="A68" s="16" t="s">
        <x:v>257</x:v>
      </x:c>
      <x:c r="B68" s="17">
        <x:v>4</x:v>
      </x:c>
      <x:c r="C68" s="17" t="str">
        <x:v>EBS_CHECK</x:v>
      </x:c>
      <x:c r="D68" s="17" t="s">
        <x:v>201</x:v>
      </x:c>
      <x:c r="E68" s="17" t="s">
        <x:v>268</x:v>
      </x:c>
      <x:c r="F68" s="17" t="s">
        <x:v>269</x:v>
      </x:c>
      <x:c r="G68" s="17" t="s">
        <x:v>270</x:v>
      </x:c>
      <x:c r="H68" s="17" t="s">
        <x:v>271</x:v>
      </x:c>
      <x:c r="I68" s="17" t="s">
        <x:v>272</x:v>
      </x:c>
      <x:c r="J68" s="17" t="s">
        <x:v>273</x:v>
      </x:c>
      <x:c r="K68" s="17" t="str">
        <x:v>CN11.4 / H4.3</x:v>
      </x:c>
      <x:c r="L68" s="24" t="s">
        <x:v>127</x:v>
      </x:c>
      <x:c r="M68" s="18"/>
    </x:row>
    <x:row r="69" ht="27.200000762939453">
      <x:c r="A69" s="16" t="s">
        <x:v>257</x:v>
      </x:c>
      <x:c r="B69" s="17">
        <x:v>5</x:v>
      </x:c>
      <x:c r="C69" s="17" t="str">
        <x:v>EBS_WORK</x:v>
      </x:c>
      <x:c r="D69" s="17" t="s">
        <x:v>201</x:v>
      </x:c>
      <x:c r="E69" s="17" t="s">
        <x:v>274</x:v>
      </x:c>
      <x:c r="F69" s="17" t="s">
        <x:v>275</x:v>
      </x:c>
      <x:c r="G69" s="17" t="s">
        <x:v>276</x:v>
      </x:c>
      <x:c r="H69" s="17" t="s">
        <x:v>277</x:v>
      </x:c>
      <x:c r="I69" s="17" t="s">
        <x:v>278</x:v>
      </x:c>
      <x:c r="J69" s="17" t="s">
        <x:v>279</x:v>
      </x:c>
      <x:c r="K69" s="17" t="str">
        <x:v>CN11.5 / H3.2</x:v>
      </x:c>
      <x:c r="L69" s="22" t="s">
        <x:v>55</x:v>
      </x:c>
      <x:c r="M69" s="18"/>
    </x:row>
    <x:row r="70" ht="14.300000190734863">
      <x:c r="A70" s="16" t="s">
        <x:v>257</x:v>
      </x:c>
      <x:c r="B70" s="17">
        <x:v>6</x:v>
      </x:c>
      <x:c r="C70" s="17" t="str">
        <x:v>SCOUT</x:v>
      </x:c>
      <x:c r="D70" s="17" t="s">
        <x:v>201</x:v>
      </x:c>
      <x:c r="E70" s="17" t="s">
        <x:v>280</x:v>
      </x:c>
      <x:c r="F70" s="17" t="s">
        <x:v>281</x:v>
      </x:c>
      <x:c r="G70" s="17" t="s">
        <x:v>282</x:v>
      </x:c>
      <x:c r="H70" s="17" t="s">
        <x:v>283</x:v>
      </x:c>
      <x:c r="I70" s="17" t="s">
        <x:v>284</x:v>
      </x:c>
      <x:c r="J70" s="17" t="s">
        <x:v>285</x:v>
      </x:c>
      <x:c r="K70" s="17" t="str">
        <x:v>CN11.6 / H19.2</x:v>
      </x:c>
      <x:c r="L70" s="22" t="s">
        <x:v>55</x:v>
      </x:c>
      <x:c r="M70" s="18"/>
    </x:row>
    <x:row r="71" ht="14.300000190734863">
      <x:c r="A71" s="16" t="s">
        <x:v>257</x:v>
      </x:c>
      <x:c r="B71" s="17">
        <x:v>7</x:v>
      </x:c>
      <x:c r="C71" s="17" t="str">
        <x:v>VCU_FB</x:v>
      </x:c>
      <x:c r="D71" s="17" t="s">
        <x:v>201</x:v>
      </x:c>
      <x:c r="E71" s="17" t="s">
        <x:v>268</x:v>
      </x:c>
      <x:c r="F71" s="17" t="s">
        <x:v>269</x:v>
      </x:c>
      <x:c r="G71" s="17" t="s">
        <x:v>286</x:v>
      </x:c>
      <x:c r="H71" s="17" t="s">
        <x:v>287</x:v>
      </x:c>
      <x:c r="I71" s="17" t="s">
        <x:v>288</x:v>
      </x:c>
      <x:c r="J71" s="17" t="s">
        <x:v>289</x:v>
      </x:c>
      <x:c r="K71" s="17" t="str">
        <x:v>CN11.7 / H3.4</x:v>
      </x:c>
      <x:c r="L71" s="24" t="s">
        <x:v>127</x:v>
      </x:c>
      <x:c r="M71" s="18"/>
    </x:row>
    <x:row r="72" ht="14.300000190734863">
      <x:c r="A72" s="16" t="s">
        <x:v>257</x:v>
      </x:c>
      <x:c r="B72" s="17">
        <x:v>8</x:v>
      </x:c>
      <x:c r="C72" s="17" t="s">
        <x:v>222</x:v>
      </x:c>
      <x:c r="D72" s="17" t="s">
        <x:v>223</x:v>
      </x:c>
      <x:c r="E72" s="17" t="s">
        <x:v>224</x:v>
      </x:c>
      <x:c r="F72" s="17" t="s">
        <x:v>90</x:v>
      </x:c>
      <x:c r="G72" s="17" t="s">
        <x:v>90</x:v>
      </x:c>
      <x:c r="H72" s="17" t="s">
        <x:v>90</x:v>
      </x:c>
      <x:c r="I72" s="17" t="s">
        <x:v>225</x:v>
      </x:c>
      <x:c r="J72" s="17" t="s">
        <x:v>226</x:v>
      </x:c>
      <x:c r="K72" s="17" t="str">
        <x:v>无网络</x:v>
      </x:c>
      <x:c r="L72" s="26" t="s">
        <x:v>222</x:v>
      </x:c>
      <x:c r="M72" s="18"/>
    </x:row>
    <x:row r="73" ht="14.300000190734863">
      <x:c r="A73" s="16" t="s">
        <x:v>257</x:v>
      </x:c>
      <x:c r="B73" s="17">
        <x:v>9</x:v>
      </x:c>
      <x:c r="C73" s="17" t="str">
        <x:v>EBS_PWR</x:v>
      </x:c>
      <x:c r="D73" s="17" t="s">
        <x:v>167</x:v>
      </x:c>
      <x:c r="E73" s="17" t="s">
        <x:v>290</x:v>
      </x:c>
      <x:c r="F73" s="17" t="s">
        <x:v>252</x:v>
      </x:c>
      <x:c r="G73" s="17" t="s">
        <x:v>291</x:v>
      </x:c>
      <x:c r="H73" s="17" t="s">
        <x:v>292</x:v>
      </x:c>
      <x:c r="I73" s="17" t="s">
        <x:v>293</x:v>
      </x:c>
      <x:c r="J73" s="17" t="s">
        <x:v>294</x:v>
      </x:c>
      <x:c r="K73" s="17" t="str">
        <x:v>CN11.9 / H1.1</x:v>
      </x:c>
      <x:c r="L73" s="22" t="s">
        <x:v>55</x:v>
      </x:c>
      <x:c r="M73" s="18"/>
    </x:row>
    <x:row r="74" ht="14.300000190734863">
      <x:c r="A74" s="16" t="s">
        <x:v>257</x:v>
      </x:c>
      <x:c r="B74" s="17">
        <x:v>10</x:v>
      </x:c>
      <x:c r="C74" s="17" t="str">
        <x:v>SDC_IN_EBS</x:v>
      </x:c>
      <x:c r="D74" s="17" t="s">
        <x:v>120</x:v>
      </x:c>
      <x:c r="E74" s="17" t="s">
        <x:v>295</x:v>
      </x:c>
      <x:c r="F74" s="17" t="s">
        <x:v>296</x:v>
      </x:c>
      <x:c r="G74" s="17" t="s">
        <x:v>297</x:v>
      </x:c>
      <x:c r="H74" s="17" t="s">
        <x:v>298</x:v>
      </x:c>
      <x:c r="I74" s="17" t="s">
        <x:v>299</x:v>
      </x:c>
      <x:c r="J74" s="17" t="s">
        <x:v>300</x:v>
      </x:c>
      <x:c r="K74" s="17" t="str">
        <x:v>CN11.10 / H3.1</x:v>
      </x:c>
      <x:c r="L74" s="22" t="s">
        <x:v>55</x:v>
      </x:c>
      <x:c r="M74" s="18"/>
    </x:row>
    <x:row r="75" ht="27.200000762939453">
      <x:c r="A75" s="16" t="s">
        <x:v>301</x:v>
      </x:c>
      <x:c r="B75" s="17">
        <x:v>1</x:v>
      </x:c>
      <x:c r="C75" s="17" t="str">
        <x:v>SHUTDOWNS_IN</x:v>
      </x:c>
      <x:c r="D75" s="17" t="s">
        <x:v>96</x:v>
      </x:c>
      <x:c r="E75" s="17" t="s">
        <x:v>302</x:v>
      </x:c>
      <x:c r="F75" s="17" t="s">
        <x:v>303</x:v>
      </x:c>
      <x:c r="G75" s="17" t="s">
        <x:v>304</x:v>
      </x:c>
      <x:c r="H75" s="17" t="s">
        <x:v>305</x:v>
      </x:c>
      <x:c r="I75" s="17" t="s">
        <x:v>306</x:v>
      </x:c>
      <x:c r="J75" s="17" t="s">
        <x:v>307</x:v>
      </x:c>
      <x:c r="K75" s="17" t="str">
        <x:v>CN12.1 / R28.2</x:v>
      </x:c>
      <x:c r="L75" s="22" t="s">
        <x:v>55</x:v>
      </x:c>
      <x:c r="M75" s="18"/>
    </x:row>
    <x:row r="76" ht="27.200000762939453">
      <x:c r="A76" s="19" t="s">
        <x:v>301</x:v>
      </x:c>
      <x:c r="B76" s="20">
        <x:v>2</x:v>
      </x:c>
      <x:c r="C76" s="20" t="str">
        <x:v>SHUTDOWNE_IN</x:v>
      </x:c>
      <x:c r="D76" s="20" t="s">
        <x:v>96</x:v>
      </x:c>
      <x:c r="E76" s="20" t="s">
        <x:v>302</x:v>
      </x:c>
      <x:c r="F76" s="20" t="s">
        <x:v>303</x:v>
      </x:c>
      <x:c r="G76" s="20" t="s">
        <x:v>308</x:v>
      </x:c>
      <x:c r="H76" s="20" t="s">
        <x:v>309</x:v>
      </x:c>
      <x:c r="I76" s="20" t="s">
        <x:v>310</x:v>
      </x:c>
      <x:c r="J76" s="20" t="s">
        <x:v>311</x:v>
      </x:c>
      <x:c r="K76" s="20" t="str">
        <x:v>CN12.2 / R32.2</x:v>
      </x:c>
      <x:c r="L76" s="29" t="s">
        <x:v>55</x:v>
      </x:c>
      <x:c r="M76" s="21"/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5e202b35e37246d3"/>
  </x:tableParts>
</x:worksheet>
</file>

<file path=xl/worksheets/sheet3.xml><?xml version="1.0" encoding="utf-8"?>
<x:worksheet xmlns:x="http://schemas.openxmlformats.org/spreadsheetml/2006/main">
  <x:sheetFormatPr defaultRowHeight="13.600000381469727"/>
  <x:cols>
    <x:col min="1" max="1" width="9" customWidth="1"/>
    <x:col min="2" max="2" width="7" customWidth="1"/>
    <x:col min="3" max="3" width="24" customWidth="1"/>
    <x:col min="4" max="4" width="16" customWidth="1"/>
    <x:col min="5" max="5" width="22" customWidth="1"/>
    <x:col min="6" max="6" width="28" customWidth="1"/>
    <x:col min="7" max="7" width="36" customWidth="1"/>
    <x:col min="8" max="8" width="42" customWidth="1"/>
    <x:col min="9" max="9" width="43" customWidth="1"/>
    <x:col min="10" max="10" width="15" customWidth="1"/>
  </x:cols>
  <x:sheetData>
    <x:row r="1" ht="21.100000381469727">
      <x:c r="A1" s="39" t="str">
        <x:v>板卡排针 H1–H20 全部接口特性与定义（v7）</x:v>
      </x:c>
      <x:c r="B1" s="39"/>
      <x:c r="C1" s="39"/>
      <x:c r="D1" s="39"/>
      <x:c r="E1" s="39"/>
      <x:c r="F1" s="39"/>
      <x:c r="G1" s="39"/>
      <x:c r="H1" s="39"/>
      <x:c r="I1" s="39"/>
      <x:c r="J1" s="39"/>
    </x:row>
    <x:row r="2">
      <x:c r="A2" s="40" t="str">
        <x:v>本页方向以所连接板卡为观察点。H10.1、H15.1为明确NC；H17.3 R_E_LED为锁存板设计冗余接口，按设计未使用。</x:v>
      </x:c>
      <x:c r="B2" s="40"/>
      <x:c r="C2" s="40"/>
      <x:c r="D2" s="40"/>
      <x:c r="E2" s="40"/>
      <x:c r="F2" s="40"/>
      <x:c r="G2" s="40"/>
      <x:c r="H2" s="40"/>
      <x:c r="I2" s="40"/>
      <x:c r="J2" s="40"/>
    </x:row>
    <x:row r="4" ht="14.300000190734863">
      <x:c r="A4" s="1" t="s">
        <x:v>312</x:v>
      </x:c>
      <x:c r="B4" s="2" t="s">
        <x:v>36</x:v>
      </x:c>
      <x:c r="C4" s="2" t="s">
        <x:v>37</x:v>
      </x:c>
      <x:c r="D4" s="2" t="s">
        <x:v>313</x:v>
      </x:c>
      <x:c r="E4" s="2" t="s">
        <x:v>314</x:v>
      </x:c>
      <x:c r="F4" s="2" t="s">
        <x:v>315</x:v>
      </x:c>
      <x:c r="G4" s="2" t="s">
        <x:v>316</x:v>
      </x:c>
      <x:c r="H4" s="2" t="s">
        <x:v>45</x:v>
      </x:c>
      <x:c r="I4" s="2" t="s">
        <x:v>317</x:v>
      </x:c>
      <x:c r="J4" s="3" t="s">
        <x:v>34</x:v>
      </x:c>
    </x:row>
    <x:row r="5" ht="14.300000190734863">
      <x:c r="A5" s="16" t="s">
        <x:v>318</x:v>
      </x:c>
      <x:c r="B5" s="17">
        <x:v>1</x:v>
      </x:c>
      <x:c r="C5" s="17" t="str">
        <x:v>EBS_PWR</x:v>
      </x:c>
      <x:c r="D5" s="17" t="s">
        <x:v>319</x:v>
      </x:c>
      <x:c r="E5" s="17" t="s">
        <x:v>96</x:v>
      </x:c>
      <x:c r="F5" s="17" t="s">
        <x:v>320</x:v>
      </x:c>
      <x:c r="G5" s="17" t="s">
        <x:v>321</x:v>
      </x:c>
      <x:c r="H5" s="17" t="str">
        <x:v>CN11.9 / H1.1</x:v>
      </x:c>
      <x:c r="I5" s="17" t="s">
        <x:v>322</x:v>
      </x:c>
      <x:c r="J5" s="30" t="s">
        <x:v>55</x:v>
      </x:c>
    </x:row>
    <x:row r="6" ht="95.0999984741211">
      <x:c r="A6" s="16" t="s">
        <x:v>318</x:v>
      </x:c>
      <x:c r="B6" s="17">
        <x:v>2</x:v>
      </x:c>
      <x:c r="C6" s="17" t="str">
        <x:v>GND</x:v>
      </x:c>
      <x:c r="D6" s="17" t="s">
        <x:v>319</x:v>
      </x:c>
      <x:c r="E6" s="17" t="s">
        <x:v>87</x:v>
      </x:c>
      <x:c r="F6" s="17" t="s">
        <x:v>89</x:v>
      </x:c>
      <x:c r="G6" s="17" t="s">
        <x:v>180</x:v>
      </x:c>
      <x:c r="H6" s="17" t="str">
        <x:v>C1.1 / C2.1 / C3.1 / C4.1 / C5.1 / CN7.10 / CN7.11 / CN7.13 / CN7.14 / CN8.6 / CN8.13 / CN8.17 / D9.2 / D16.2 / D17.2 / D21.2 / D22.2 / D23.2 / D35.2 / D37.2 / D39.2 / H1.2 / H2.2 / H7.2 / H8.2 / H13.1 / K2.1 / K5.1 / K7.1 / K7.3 / K12.2 / K13.2 / K14.2 / R17.1 / R18.1 / R19.1 / R37.1 / R38.1 / R39.1 / RELAY1.1 / U15.2 / U15.3 / U16.2 / U17.2 / U18.2 / U19.2 / U19.3 / U20.2 / U20.3</x:v>
      </x:c>
      <x:c r="I6" s="17" t="s">
        <x:v>323</x:v>
      </x:c>
      <x:c r="J6" s="30" t="s">
        <x:v>55</x:v>
      </x:c>
    </x:row>
    <x:row r="7" ht="14.300000190734863">
      <x:c r="A7" s="16" t="s">
        <x:v>324</x:v>
      </x:c>
      <x:c r="B7" s="17">
        <x:v>1</x:v>
      </x:c>
      <x:c r="C7" s="17" t="str">
        <x:v>+24VIN</x:v>
      </x:c>
      <x:c r="D7" s="17" t="s">
        <x:v>325</x:v>
      </x:c>
      <x:c r="E7" s="17" t="s">
        <x:v>96</x:v>
      </x:c>
      <x:c r="F7" s="17" t="s">
        <x:v>320</x:v>
      </x:c>
      <x:c r="G7" s="17" t="s">
        <x:v>326</x:v>
      </x:c>
      <x:c r="H7" s="17" t="str">
        <x:v>CN10.10 / H2.1 / H6.1</x:v>
      </x:c>
      <x:c r="I7" s="17" t="s">
        <x:v>327</x:v>
      </x:c>
      <x:c r="J7" s="30" t="s">
        <x:v>55</x:v>
      </x:c>
    </x:row>
    <x:row r="8" ht="95.0999984741211">
      <x:c r="A8" s="16" t="s">
        <x:v>324</x:v>
      </x:c>
      <x:c r="B8" s="17">
        <x:v>2</x:v>
      </x:c>
      <x:c r="C8" s="17" t="str">
        <x:v>GND</x:v>
      </x:c>
      <x:c r="D8" s="17" t="s">
        <x:v>325</x:v>
      </x:c>
      <x:c r="E8" s="17" t="s">
        <x:v>87</x:v>
      </x:c>
      <x:c r="F8" s="17" t="s">
        <x:v>89</x:v>
      </x:c>
      <x:c r="G8" s="17" t="s">
        <x:v>180</x:v>
      </x:c>
      <x:c r="H8" s="17" t="str">
        <x:v>C1.1 / C2.1 / C3.1 / C4.1 / C5.1 / CN7.10 / CN7.11 / CN7.13 / CN7.14 / CN8.6 / CN8.13 / CN8.17 / D9.2 / D16.2 / D17.2 / D21.2 / D22.2 / D23.2 / D35.2 / D37.2 / D39.2 / H1.2 / H2.2 / H7.2 / H8.2 / H13.1 / K2.1 / K5.1 / K7.1 / K7.3 / K12.2 / K13.2 / K14.2 / R17.1 / R18.1 / R19.1 / R37.1 / R38.1 / R39.1 / RELAY1.1 / U15.2 / U15.3 / U16.2 / U17.2 / U18.2 / U19.2 / U19.3 / U20.2 / U20.3</x:v>
      </x:c>
      <x:c r="I8" s="17" t="s">
        <x:v>323</x:v>
      </x:c>
      <x:c r="J8" s="30" t="s">
        <x:v>55</x:v>
      </x:c>
    </x:row>
    <x:row r="9" ht="14.300000190734863">
      <x:c r="A9" s="16" t="s">
        <x:v>328</x:v>
      </x:c>
      <x:c r="B9" s="17">
        <x:v>1</x:v>
      </x:c>
      <x:c r="C9" s="17" t="str">
        <x:v>SDC_IN_EBS</x:v>
      </x:c>
      <x:c r="D9" s="17" t="s">
        <x:v>319</x:v>
      </x:c>
      <x:c r="E9" s="17" t="s">
        <x:v>96</x:v>
      </x:c>
      <x:c r="F9" s="17" t="s">
        <x:v>329</x:v>
      </x:c>
      <x:c r="G9" s="17" t="s">
        <x:v>330</x:v>
      </x:c>
      <x:c r="H9" s="17" t="str">
        <x:v>CN11.10 / H3.1</x:v>
      </x:c>
      <x:c r="I9" s="17" t="s">
        <x:v>331</x:v>
      </x:c>
      <x:c r="J9" s="30" t="s">
        <x:v>55</x:v>
      </x:c>
    </x:row>
    <x:row r="10" ht="14.300000190734863">
      <x:c r="A10" s="16" t="s">
        <x:v>328</x:v>
      </x:c>
      <x:c r="B10" s="17">
        <x:v>2</x:v>
      </x:c>
      <x:c r="C10" s="17" t="str">
        <x:v>EBS_WORK</x:v>
      </x:c>
      <x:c r="D10" s="17" t="s">
        <x:v>319</x:v>
      </x:c>
      <x:c r="E10" s="17" t="s">
        <x:v>48</x:v>
      </x:c>
      <x:c r="F10" s="17" t="s">
        <x:v>275</x:v>
      </x:c>
      <x:c r="G10" s="17" t="s">
        <x:v>332</x:v>
      </x:c>
      <x:c r="H10" s="17" t="str">
        <x:v>CN11.5 / H3.2</x:v>
      </x:c>
      <x:c r="I10" s="17" t="s">
        <x:v>333</x:v>
      </x:c>
      <x:c r="J10" s="30" t="s">
        <x:v>55</x:v>
      </x:c>
    </x:row>
    <x:row r="11" ht="14.300000190734863">
      <x:c r="A11" s="16" t="s">
        <x:v>328</x:v>
      </x:c>
      <x:c r="B11" s="17">
        <x:v>3</x:v>
      </x:c>
      <x:c r="C11" s="17" t="str">
        <x:v>EBS_ERROR</x:v>
      </x:c>
      <x:c r="D11" s="17" t="s">
        <x:v>319</x:v>
      </x:c>
      <x:c r="E11" s="17" t="s">
        <x:v>48</x:v>
      </x:c>
      <x:c r="F11" s="17" t="s">
        <x:v>334</x:v>
      </x:c>
      <x:c r="G11" s="17" t="s">
        <x:v>335</x:v>
      </x:c>
      <x:c r="H11" s="17" t="str">
        <x:v>H3.3 / H9.1</x:v>
      </x:c>
      <x:c r="I11" s="17" t="s">
        <x:v>336</x:v>
      </x:c>
      <x:c r="J11" s="30" t="s">
        <x:v>55</x:v>
      </x:c>
    </x:row>
    <x:row r="12" ht="14.300000190734863">
      <x:c r="A12" s="16" t="s">
        <x:v>328</x:v>
      </x:c>
      <x:c r="B12" s="17">
        <x:v>4</x:v>
      </x:c>
      <x:c r="C12" s="17" t="str">
        <x:v>VCU_FB</x:v>
      </x:c>
      <x:c r="D12" s="17" t="s">
        <x:v>319</x:v>
      </x:c>
      <x:c r="E12" s="17" t="s">
        <x:v>48</x:v>
      </x:c>
      <x:c r="F12" s="17" t="s">
        <x:v>337</x:v>
      </x:c>
      <x:c r="G12" s="17" t="s">
        <x:v>338</x:v>
      </x:c>
      <x:c r="H12" s="17" t="str">
        <x:v>CN11.7 / H3.4</x:v>
      </x:c>
      <x:c r="I12" s="17" t="s">
        <x:v>339</x:v>
      </x:c>
      <x:c r="J12" s="31" t="s">
        <x:v>127</x:v>
      </x:c>
    </x:row>
    <x:row r="13" ht="14.300000190734863">
      <x:c r="A13" s="16" t="s">
        <x:v>340</x:v>
      </x:c>
      <x:c r="B13" s="17">
        <x:v>1</x:v>
      </x:c>
      <x:c r="C13" s="17" t="str">
        <x:v>VCU_WDI</x:v>
      </x:c>
      <x:c r="D13" s="17" t="s">
        <x:v>319</x:v>
      </x:c>
      <x:c r="E13" s="17" t="s">
        <x:v>96</x:v>
      </x:c>
      <x:c r="F13" s="17" t="s">
        <x:v>259</x:v>
      </x:c>
      <x:c r="G13" s="17" t="s">
        <x:v>341</x:v>
      </x:c>
      <x:c r="H13" s="17" t="str">
        <x:v>CN11.1 / H4.1</x:v>
      </x:c>
      <x:c r="I13" s="17" t="s">
        <x:v>342</x:v>
      </x:c>
      <x:c r="J13" s="30" t="s">
        <x:v>55</x:v>
      </x:c>
    </x:row>
    <x:row r="14" ht="14.300000190734863">
      <x:c r="A14" s="16" t="s">
        <x:v>340</x:v>
      </x:c>
      <x:c r="B14" s="17">
        <x:v>2</x:v>
      </x:c>
      <x:c r="C14" s="17" t="str">
        <x:v>EBS_TRIG</x:v>
      </x:c>
      <x:c r="D14" s="17" t="s">
        <x:v>319</x:v>
      </x:c>
      <x:c r="E14" s="17" t="s">
        <x:v>96</x:v>
      </x:c>
      <x:c r="F14" s="17" t="s">
        <x:v>343</x:v>
      </x:c>
      <x:c r="G14" s="17" t="str">
        <x:v>来自CN11.3，经R7/D21/R41限流钳位</x:v>
      </x:c>
      <x:c r="H14" s="17" t="str">
        <x:v>H4.2 / R41.1</x:v>
      </x:c>
      <x:c r="I14" s="17" t="str">
        <x:v>EBS触发输入；两级1k串联，中间4.7V稳压钳位</x:v>
      </x:c>
      <x:c r="J14" s="30" t="s">
        <x:v>55</x:v>
      </x:c>
    </x:row>
    <x:row r="15" ht="14.300000190734863">
      <x:c r="A15" s="16" t="s">
        <x:v>340</x:v>
      </x:c>
      <x:c r="B15" s="17">
        <x:v>3</x:v>
      </x:c>
      <x:c r="C15" s="17" t="str">
        <x:v>EBS_CHECK</x:v>
      </x:c>
      <x:c r="D15" s="17" t="s">
        <x:v>319</x:v>
      </x:c>
      <x:c r="E15" s="17" t="s">
        <x:v>48</x:v>
      </x:c>
      <x:c r="F15" s="17" t="s">
        <x:v>337</x:v>
      </x:c>
      <x:c r="G15" s="17" t="s">
        <x:v>344</x:v>
      </x:c>
      <x:c r="H15" s="17" t="str">
        <x:v>CN11.4 / H4.3</x:v>
      </x:c>
      <x:c r="I15" s="17" t="s">
        <x:v>345</x:v>
      </x:c>
      <x:c r="J15" s="31" t="s">
        <x:v>127</x:v>
      </x:c>
    </x:row>
    <x:row r="16" ht="14.300000190734863">
      <x:c r="A16" s="16" t="s">
        <x:v>346</x:v>
      </x:c>
      <x:c r="B16" s="17">
        <x:v>1</x:v>
      </x:c>
      <x:c r="C16" s="17" t="str">
        <x:v>OIL4</x:v>
      </x:c>
      <x:c r="D16" s="17" t="s">
        <x:v>325</x:v>
      </x:c>
      <x:c r="E16" s="17" t="s">
        <x:v>96</x:v>
      </x:c>
      <x:c r="F16" s="17" t="s">
        <x:v>347</x:v>
      </x:c>
      <x:c r="G16" s="17" t="str">
        <x:v>来自CN9.4；C4=100nF对GND滤波</x:v>
      </x:c>
      <x:c r="H16" s="17" t="str">
        <x:v>C4.2 / CN9.4 / H5.1</x:v>
      </x:c>
      <x:c r="I16" s="17" t="str">
        <x:v>OIL4油压传感器输入（100nF滤波）</x:v>
      </x:c>
      <x:c r="J16" s="30" t="s">
        <x:v>55</x:v>
      </x:c>
    </x:row>
    <x:row r="17" ht="14.300000190734863">
      <x:c r="A17" s="16" t="s">
        <x:v>346</x:v>
      </x:c>
      <x:c r="B17" s="17">
        <x:v>2</x:v>
      </x:c>
      <x:c r="C17" s="17" t="str">
        <x:v>OIL3</x:v>
      </x:c>
      <x:c r="D17" s="17" t="s">
        <x:v>325</x:v>
      </x:c>
      <x:c r="E17" s="17" t="s">
        <x:v>96</x:v>
      </x:c>
      <x:c r="F17" s="17" t="s">
        <x:v>347</x:v>
      </x:c>
      <x:c r="G17" s="17" t="str">
        <x:v>来自CN9.6；C3=100nF对GND滤波</x:v>
      </x:c>
      <x:c r="H17" s="17" t="str">
        <x:v>C3.2 / CN9.6 / H5.2</x:v>
      </x:c>
      <x:c r="I17" s="17" t="str">
        <x:v>OIL3油压传感器输入（100nF滤波）</x:v>
      </x:c>
      <x:c r="J17" s="30" t="s">
        <x:v>55</x:v>
      </x:c>
    </x:row>
    <x:row r="18" ht="14.300000190734863">
      <x:c r="A18" s="16" t="s">
        <x:v>346</x:v>
      </x:c>
      <x:c r="B18" s="17">
        <x:v>3</x:v>
      </x:c>
      <x:c r="C18" s="17" t="str">
        <x:v>OIL2</x:v>
      </x:c>
      <x:c r="D18" s="17" t="s">
        <x:v>325</x:v>
      </x:c>
      <x:c r="E18" s="17" t="s">
        <x:v>96</x:v>
      </x:c>
      <x:c r="F18" s="17" t="s">
        <x:v>347</x:v>
      </x:c>
      <x:c r="G18" s="17" t="str">
        <x:v>来自CN9.8；C2=100nF对GND滤波</x:v>
      </x:c>
      <x:c r="H18" s="17" t="str">
        <x:v>C2.2 / CN9.8 / H5.3</x:v>
      </x:c>
      <x:c r="I18" s="17" t="str">
        <x:v>OIL2油压传感器输入（100nF滤波）</x:v>
      </x:c>
      <x:c r="J18" s="30" t="s">
        <x:v>55</x:v>
      </x:c>
    </x:row>
    <x:row r="19" ht="14.300000190734863">
      <x:c r="A19" s="16" t="s">
        <x:v>346</x:v>
      </x:c>
      <x:c r="B19" s="17">
        <x:v>4</x:v>
      </x:c>
      <x:c r="C19" s="17" t="str">
        <x:v>OIL1</x:v>
      </x:c>
      <x:c r="D19" s="17" t="s">
        <x:v>325</x:v>
      </x:c>
      <x:c r="E19" s="17" t="s">
        <x:v>96</x:v>
      </x:c>
      <x:c r="F19" s="17" t="s">
        <x:v>347</x:v>
      </x:c>
      <x:c r="G19" s="17" t="str">
        <x:v>来自CN9.10；C1=100nF对GND滤波</x:v>
      </x:c>
      <x:c r="H19" s="17" t="str">
        <x:v>C1.2 / CN9.10 / H5.4</x:v>
      </x:c>
      <x:c r="I19" s="17" t="str">
        <x:v>OIL1油压传感器输入（100nF滤波）</x:v>
      </x:c>
      <x:c r="J19" s="30" t="s">
        <x:v>55</x:v>
      </x:c>
    </x:row>
    <x:row r="20" ht="14.300000190734863">
      <x:c r="A20" s="16" t="s">
        <x:v>348</x:v>
      </x:c>
      <x:c r="B20" s="17">
        <x:v>1</x:v>
      </x:c>
      <x:c r="C20" s="17" t="str">
        <x:v>+24VIN</x:v>
      </x:c>
      <x:c r="D20" s="17" t="s">
        <x:v>325</x:v>
      </x:c>
      <x:c r="E20" s="17" t="s">
        <x:v>96</x:v>
      </x:c>
      <x:c r="F20" s="17" t="s">
        <x:v>320</x:v>
      </x:c>
      <x:c r="G20" s="17" t="s">
        <x:v>326</x:v>
      </x:c>
      <x:c r="H20" s="17" t="str">
        <x:v>CN10.10 / H2.1 / H6.1</x:v>
      </x:c>
      <x:c r="I20" s="17" t="s">
        <x:v>327</x:v>
      </x:c>
      <x:c r="J20" s="30" t="s">
        <x:v>55</x:v>
      </x:c>
    </x:row>
    <x:row r="21" ht="14.300000190734863">
      <x:c r="A21" s="16" t="s">
        <x:v>348</x:v>
      </x:c>
      <x:c r="B21" s="17">
        <x:v>2</x:v>
      </x:c>
      <x:c r="C21" s="17" t="str">
        <x:v>SDC</x:v>
      </x:c>
      <x:c r="D21" s="17" t="s">
        <x:v>325</x:v>
      </x:c>
      <x:c r="E21" s="17" t="s">
        <x:v>349</x:v>
      </x:c>
      <x:c r="F21" s="17" t="s">
        <x:v>25</x:v>
      </x:c>
      <x:c r="G21" s="17" t="s">
        <x:v>350</x:v>
      </x:c>
      <x:c r="H21" s="17" t="str">
        <x:v>H6.2 / H19.1</x:v>
      </x:c>
      <x:c r="I21" s="17" t="s">
        <x:v>351</x:v>
      </x:c>
      <x:c r="J21" s="30" t="s">
        <x:v>55</x:v>
      </x:c>
    </x:row>
    <x:row r="22" ht="14.300000190734863">
      <x:c r="A22" s="16" t="s">
        <x:v>352</x:v>
      </x:c>
      <x:c r="B22" s="17">
        <x:v>1</x:v>
      </x:c>
      <x:c r="C22" s="17" t="str">
        <x:v>CURRENT</x:v>
      </x:c>
      <x:c r="D22" s="17" t="s">
        <x:v>325</x:v>
      </x:c>
      <x:c r="E22" s="17" t="s">
        <x:v>96</x:v>
      </x:c>
      <x:c r="F22" s="17" t="s">
        <x:v>347</x:v>
      </x:c>
      <x:c r="G22" s="17" t="str">
        <x:v>来自CN10.2；C5=100nF对GND滤波</x:v>
      </x:c>
      <x:c r="H22" s="17" t="str">
        <x:v>C5.2 / CN10.2 / H7.1</x:v>
      </x:c>
      <x:c r="I22" s="17" t="str">
        <x:v>BSPD电流传感器输入（100nF滤波）</x:v>
      </x:c>
      <x:c r="J22" s="30" t="s">
        <x:v>55</x:v>
      </x:c>
    </x:row>
    <x:row r="23" ht="95.0999984741211">
      <x:c r="A23" s="16" t="s">
        <x:v>352</x:v>
      </x:c>
      <x:c r="B23" s="17">
        <x:v>2</x:v>
      </x:c>
      <x:c r="C23" s="17" t="str">
        <x:v>GND</x:v>
      </x:c>
      <x:c r="D23" s="17" t="s">
        <x:v>325</x:v>
      </x:c>
      <x:c r="E23" s="17" t="s">
        <x:v>87</x:v>
      </x:c>
      <x:c r="F23" s="17" t="s">
        <x:v>89</x:v>
      </x:c>
      <x:c r="G23" s="17" t="s">
        <x:v>180</x:v>
      </x:c>
      <x:c r="H23" s="17" t="str">
        <x:v>C1.1 / C2.1 / C3.1 / C4.1 / C5.1 / CN7.10 / CN7.11 / CN7.13 / CN7.14 / CN8.6 / CN8.13 / CN8.17 / D9.2 / D16.2 / D17.2 / D21.2 / D22.2 / D23.2 / D35.2 / D37.2 / D39.2 / H1.2 / H2.2 / H7.2 / H8.2 / H13.1 / K2.1 / K5.1 / K7.1 / K7.3 / K12.2 / K13.2 / K14.2 / R17.1 / R18.1 / R19.1 / R37.1 / R38.1 / R39.1 / RELAY1.1 / U15.2 / U15.3 / U16.2 / U17.2 / U18.2 / U19.2 / U19.3 / U20.2 / U20.3</x:v>
      </x:c>
      <x:c r="I23" s="17" t="s">
        <x:v>323</x:v>
      </x:c>
      <x:c r="J23" s="30" t="s">
        <x:v>55</x:v>
      </x:c>
    </x:row>
    <x:row r="24" ht="67.94999694824219">
      <x:c r="A24" s="16" t="s">
        <x:v>353</x:v>
      </x:c>
      <x:c r="B24" s="17">
        <x:v>1</x:v>
      </x:c>
      <x:c r="C24" s="17" t="str">
        <x:v>12V</x:v>
      </x:c>
      <x:c r="D24" s="17" t="s">
        <x:v>354</x:v>
      </x:c>
      <x:c r="E24" s="17" t="s">
        <x:v>355</x:v>
      </x:c>
      <x:c r="F24" s="17" t="s">
        <x:v>356</x:v>
      </x:c>
      <x:c r="G24" s="17" t="s">
        <x:v>357</x:v>
      </x:c>
      <x:c r="H24" s="17" t="str">
        <x:v>CN8.15 / D8.1 / D10.1 / D11.1 / D12.1 / D13.1 / D14.1 / D15.1 / D36.1 / D38.1 / D40.1 / H8.1 / H13.2 / K2.3 / K5.3 / K6.1 / K6.3 / K8.1 / K8.3 / K9.1 / K9.3 / K11.1 / K11.3 / K12.1 / K13.1 / K14.1 / Q2.3 / Q3.3 / Q4.3 / R8.2 / R26.2 / R30.2 / R34.2</x:v>
      </x:c>
      <x:c r="I24" s="17" t="s">
        <x:v>358</x:v>
      </x:c>
      <x:c r="J24" s="30" t="s">
        <x:v>55</x:v>
      </x:c>
    </x:row>
    <x:row r="25" ht="95.0999984741211">
      <x:c r="A25" s="16" t="s">
        <x:v>353</x:v>
      </x:c>
      <x:c r="B25" s="17">
        <x:v>2</x:v>
      </x:c>
      <x:c r="C25" s="17" t="str">
        <x:v>GND</x:v>
      </x:c>
      <x:c r="D25" s="17" t="s">
        <x:v>354</x:v>
      </x:c>
      <x:c r="E25" s="17" t="s">
        <x:v>87</x:v>
      </x:c>
      <x:c r="F25" s="17" t="s">
        <x:v>89</x:v>
      </x:c>
      <x:c r="G25" s="17" t="s">
        <x:v>180</x:v>
      </x:c>
      <x:c r="H25" s="17" t="str">
        <x:v>C1.1 / C2.1 / C3.1 / C4.1 / C5.1 / CN7.10 / CN7.11 / CN7.13 / CN7.14 / CN8.6 / CN8.13 / CN8.17 / D9.2 / D16.2 / D17.2 / D21.2 / D22.2 / D23.2 / D35.2 / D37.2 / D39.2 / H1.2 / H2.2 / H7.2 / H8.2 / H13.1 / K2.1 / K5.1 / K7.1 / K7.3 / K12.2 / K13.2 / K14.2 / R17.1 / R18.1 / R19.1 / R37.1 / R38.1 / R39.1 / RELAY1.1 / U15.2 / U15.3 / U16.2 / U17.2 / U18.2 / U19.2 / U19.3 / U20.2 / U20.3</x:v>
      </x:c>
      <x:c r="I25" s="17" t="s">
        <x:v>323</x:v>
      </x:c>
      <x:c r="J25" s="30" t="s">
        <x:v>55</x:v>
      </x:c>
    </x:row>
    <x:row r="26" ht="14.300000190734863">
      <x:c r="A26" s="16" t="s">
        <x:v>359</x:v>
      </x:c>
      <x:c r="B26" s="17">
        <x:v>1</x:v>
      </x:c>
      <x:c r="C26" s="17" t="str">
        <x:v>EBS_ERROR</x:v>
      </x:c>
      <x:c r="D26" s="17" t="s">
        <x:v>360</x:v>
      </x:c>
      <x:c r="E26" s="17" t="s">
        <x:v>48</x:v>
      </x:c>
      <x:c r="F26" s="17" t="s">
        <x:v>334</x:v>
      </x:c>
      <x:c r="G26" s="17" t="s">
        <x:v>335</x:v>
      </x:c>
      <x:c r="H26" s="17" t="str">
        <x:v>H3.3 / H9.1</x:v>
      </x:c>
      <x:c r="I26" s="17" t="s">
        <x:v>336</x:v>
      </x:c>
      <x:c r="J26" s="30" t="s">
        <x:v>55</x:v>
      </x:c>
    </x:row>
    <x:row r="27" ht="27.200000762939453">
      <x:c r="A27" s="16" t="s">
        <x:v>359</x:v>
      </x:c>
      <x:c r="B27" s="17">
        <x:v>2</x:v>
      </x:c>
      <x:c r="C27" s="17" t="str">
        <x:v>RES_ERROR</x:v>
      </x:c>
      <x:c r="D27" s="17" t="s">
        <x:v>360</x:v>
      </x:c>
      <x:c r="E27" s="17" t="s">
        <x:v>96</x:v>
      </x:c>
      <x:c r="F27" s="17" t="str">
        <x:v>外部电平直通，低有效故障</x:v>
      </x:c>
      <x:c r="G27" s="17" t="str">
        <x:v>CN11.2直通；输入调理位于错误锁存板</x:v>
      </x:c>
      <x:c r="H27" s="17" t="str">
        <x:v>CN11.2 / H9.2</x:v>
      </x:c>
      <x:c r="I27" s="17" t="str">
        <x:v>RES错误信号；电平保护、阈值及默认态由锁存板调理电路定义</x:v>
      </x:c>
      <x:c r="J27" s="59" t="str">
        <x:v>正常</x:v>
      </x:c>
    </x:row>
    <x:row r="28" ht="14.300000190734863">
      <x:c r="A28" s="16" t="s">
        <x:v>361</x:v>
      </x:c>
      <x:c r="B28" s="17">
        <x:v>1</x:v>
      </x:c>
      <x:c r="C28" s="17" t="s">
        <x:v>222</x:v>
      </x:c>
      <x:c r="D28" s="17" t="s">
        <x:v>362</x:v>
      </x:c>
      <x:c r="E28" s="17" t="s">
        <x:v>223</x:v>
      </x:c>
      <x:c r="F28" s="17" t="s">
        <x:v>90</x:v>
      </x:c>
      <x:c r="G28" s="17" t="s">
        <x:v>225</x:v>
      </x:c>
      <x:c r="H28" s="17" t="str">
        <x:v>无网络</x:v>
      </x:c>
      <x:c r="I28" s="17" t="s">
        <x:v>224</x:v>
      </x:c>
      <x:c r="J28" s="32" t="s">
        <x:v>222</x:v>
      </x:c>
    </x:row>
    <x:row r="29" ht="14.300000190734863">
      <x:c r="A29" s="16" t="s">
        <x:v>361</x:v>
      </x:c>
      <x:c r="B29" s="17">
        <x:v>2</x:v>
      </x:c>
      <x:c r="C29" s="17" t="str">
        <x:v>V_CONTROLLER</x:v>
      </x:c>
      <x:c r="D29" s="17" t="s">
        <x:v>362</x:v>
      </x:c>
      <x:c r="E29" s="17" t="s">
        <x:v>96</x:v>
      </x:c>
      <x:c r="F29" s="17" t="s">
        <x:v>363</x:v>
      </x:c>
      <x:c r="G29" s="17" t="s">
        <x:v>364</x:v>
      </x:c>
      <x:c r="H29" s="17" t="str">
        <x:v>CN10.9 / H10.2</x:v>
      </x:c>
      <x:c r="I29" s="17" t="s">
        <x:v>365</x:v>
      </x:c>
      <x:c r="J29" s="30" t="s">
        <x:v>55</x:v>
      </x:c>
    </x:row>
    <x:row r="30" ht="14.300000190734863">
      <x:c r="A30" s="16" t="s">
        <x:v>366</x:v>
      </x:c>
      <x:c r="B30" s="17">
        <x:v>1</x:v>
      </x:c>
      <x:c r="C30" s="17" t="str">
        <x:v>IMD_RESET</x:v>
      </x:c>
      <x:c r="D30" s="17" t="s">
        <x:v>360</x:v>
      </x:c>
      <x:c r="E30" s="17" t="s">
        <x:v>96</x:v>
      </x:c>
      <x:c r="F30" s="17" t="str">
        <x:v>约4.7V默认高，低脉冲有效</x:v>
      </x:c>
      <x:c r="G30" s="17" t="str">
        <x:v>CN8.1直通；R48=10k接共用4.7V偏置</x:v>
      </x:c>
      <x:c r="H30" s="17" t="str">
        <x:v>CN8.1 / H11.1 / R48.1</x:v>
      </x:c>
      <x:c r="I30" s="17" t="str">
        <x:v>IMD锁存复位；开路默认高，外部拉低有效</x:v>
      </x:c>
      <x:c r="J30" s="31" t="str">
        <x:v>需系统确认</x:v>
      </x:c>
    </x:row>
    <x:row r="31" ht="14.300000190734863">
      <x:c r="A31" s="16" t="s">
        <x:v>366</x:v>
      </x:c>
      <x:c r="B31" s="17">
        <x:v>2</x:v>
      </x:c>
      <x:c r="C31" s="17" t="str">
        <x:v>BMS_RESET</x:v>
      </x:c>
      <x:c r="D31" s="17" t="s">
        <x:v>360</x:v>
      </x:c>
      <x:c r="E31" s="17" t="s">
        <x:v>96</x:v>
      </x:c>
      <x:c r="F31" s="17" t="str">
        <x:v>约4.7V默认高，低脉冲有效</x:v>
      </x:c>
      <x:c r="G31" s="17" t="str">
        <x:v>CN8.2直通；R49=10k接共用4.7V偏置</x:v>
      </x:c>
      <x:c r="H31" s="17" t="str">
        <x:v>CN8.2 / H11.2 / R49.1</x:v>
      </x:c>
      <x:c r="I31" s="17" t="str">
        <x:v>BMS锁存复位；开路默认高，外部拉低有效</x:v>
      </x:c>
      <x:c r="J31" s="31" t="str">
        <x:v>需系统确认</x:v>
      </x:c>
    </x:row>
    <x:row r="32" ht="14.300000190734863">
      <x:c r="A32" s="16" t="s">
        <x:v>366</x:v>
      </x:c>
      <x:c r="B32" s="17">
        <x:v>3</x:v>
      </x:c>
      <x:c r="C32" s="17" t="str">
        <x:v>R_E_RESET</x:v>
      </x:c>
      <x:c r="D32" s="17" t="s">
        <x:v>360</x:v>
      </x:c>
      <x:c r="E32" s="17" t="s">
        <x:v>96</x:v>
      </x:c>
      <x:c r="F32" s="17" t="str">
        <x:v>约4.7V默认高，低脉冲有效</x:v>
      </x:c>
      <x:c r="G32" s="17" t="str">
        <x:v>CN8.3直通；R50=10k接共用4.7V偏置</x:v>
      </x:c>
      <x:c r="H32" s="17" t="str">
        <x:v>CN8.3 / H11.3 / R50.1</x:v>
      </x:c>
      <x:c r="I32" s="17" t="str">
        <x:v>EBS/RES锁存复位；开路默认高，外部拉低有效</x:v>
      </x:c>
      <x:c r="J32" s="31" t="str">
        <x:v>需系统确认</x:v>
      </x:c>
    </x:row>
    <x:row r="33" ht="14.300000190734863">
      <x:c r="A33" s="16" t="s">
        <x:v>367</x:v>
      </x:c>
      <x:c r="B33" s="17">
        <x:v>1</x:v>
      </x:c>
      <x:c r="C33" s="17" t="str">
        <x:v>IMD_ERROR</x:v>
      </x:c>
      <x:c r="D33" s="17" t="s">
        <x:v>360</x:v>
      </x:c>
      <x:c r="E33" s="17" t="s">
        <x:v>96</x:v>
      </x:c>
      <x:c r="F33" s="17" t="s">
        <x:v>368</x:v>
      </x:c>
      <x:c r="G33" s="17" t="s">
        <x:v>369</x:v>
      </x:c>
      <x:c r="H33" s="17" t="str">
        <x:v>CN8.4 / H12.1</x:v>
      </x:c>
      <x:c r="I33" s="17" t="s">
        <x:v>370</x:v>
      </x:c>
      <x:c r="J33" s="31" t="s">
        <x:v>127</x:v>
      </x:c>
    </x:row>
    <x:row r="34" ht="14.300000190734863">
      <x:c r="A34" s="16" t="s">
        <x:v>367</x:v>
      </x:c>
      <x:c r="B34" s="17">
        <x:v>2</x:v>
      </x:c>
      <x:c r="C34" s="17" t="str">
        <x:v>BMS_ERROR</x:v>
      </x:c>
      <x:c r="D34" s="17" t="s">
        <x:v>360</x:v>
      </x:c>
      <x:c r="E34" s="17" t="s">
        <x:v>96</x:v>
      </x:c>
      <x:c r="F34" s="17" t="s">
        <x:v>371</x:v>
      </x:c>
      <x:c r="G34" s="17" t="s">
        <x:v>372</x:v>
      </x:c>
      <x:c r="H34" s="17" t="str">
        <x:v>CN8.5 / H12.2</x:v>
      </x:c>
      <x:c r="I34" s="17" t="s">
        <x:v>370</x:v>
      </x:c>
      <x:c r="J34" s="31" t="s">
        <x:v>127</x:v>
      </x:c>
    </x:row>
    <x:row r="35" ht="95.0999984741211">
      <x:c r="A35" s="16" t="s">
        <x:v>373</x:v>
      </x:c>
      <x:c r="B35" s="17">
        <x:v>1</x:v>
      </x:c>
      <x:c r="C35" s="17" t="str">
        <x:v>GND</x:v>
      </x:c>
      <x:c r="D35" s="17" t="s">
        <x:v>374</x:v>
      </x:c>
      <x:c r="E35" s="17" t="s">
        <x:v>87</x:v>
      </x:c>
      <x:c r="F35" s="17" t="s">
        <x:v>89</x:v>
      </x:c>
      <x:c r="G35" s="17" t="s">
        <x:v>180</x:v>
      </x:c>
      <x:c r="H35" s="17" t="str">
        <x:v>C1.1 / C2.1 / C3.1 / C4.1 / C5.1 / CN7.10 / CN7.11 / CN7.13 / CN7.14 / CN8.6 / CN8.13 / CN8.17 / D9.2 / D16.2 / D17.2 / D21.2 / D22.2 / D23.2 / D35.2 / D37.2 / D39.2 / H1.2 / H2.2 / H7.2 / H8.2 / H13.1 / K2.1 / K5.1 / K7.1 / K7.3 / K12.2 / K13.2 / K14.2 / R17.1 / R18.1 / R19.1 / R37.1 / R38.1 / R39.1 / RELAY1.1 / U15.2 / U15.3 / U16.2 / U17.2 / U18.2 / U19.2 / U19.3 / U20.2 / U20.3</x:v>
      </x:c>
      <x:c r="I35" s="17" t="s">
        <x:v>323</x:v>
      </x:c>
      <x:c r="J35" s="30" t="s">
        <x:v>55</x:v>
      </x:c>
    </x:row>
    <x:row r="36" ht="67.94999694824219">
      <x:c r="A36" s="16" t="s">
        <x:v>373</x:v>
      </x:c>
      <x:c r="B36" s="17">
        <x:v>2</x:v>
      </x:c>
      <x:c r="C36" s="17" t="str">
        <x:v>12V</x:v>
      </x:c>
      <x:c r="D36" s="17" t="s">
        <x:v>374</x:v>
      </x:c>
      <x:c r="E36" s="17" t="s">
        <x:v>355</x:v>
      </x:c>
      <x:c r="F36" s="17" t="s">
        <x:v>356</x:v>
      </x:c>
      <x:c r="G36" s="17" t="s">
        <x:v>357</x:v>
      </x:c>
      <x:c r="H36" s="17" t="str">
        <x:v>CN8.15 / D8.1 / D10.1 / D11.1 / D12.1 / D13.1 / D14.1 / D15.1 / D36.1 / D38.1 / D40.1 / H8.1 / H13.2 / K2.3 / K5.3 / K6.1 / K6.3 / K8.1 / K8.3 / K9.1 / K9.3 / K11.1 / K11.3 / K12.1 / K13.1 / K14.1 / Q2.3 / Q3.3 / Q4.3 / R8.2 / R26.2 / R30.2 / R34.2</x:v>
      </x:c>
      <x:c r="I36" s="17" t="s">
        <x:v>358</x:v>
      </x:c>
      <x:c r="J36" s="30" t="s">
        <x:v>55</x:v>
      </x:c>
    </x:row>
    <x:row r="37" ht="14.300000190734863">
      <x:c r="A37" s="16" t="s">
        <x:v>375</x:v>
      </x:c>
      <x:c r="B37" s="17">
        <x:v>1</x:v>
      </x:c>
      <x:c r="C37" s="17" t="str">
        <x:v>GREEN_OUT_K</x:v>
      </x:c>
      <x:c r="D37" s="17" t="s">
        <x:v>362</x:v>
      </x:c>
      <x:c r="E37" s="17" t="s">
        <x:v>48</x:v>
      </x:c>
      <x:c r="F37" s="17" t="s">
        <x:v>376</x:v>
      </x:c>
      <x:c r="G37" s="17" t="s">
        <x:v>377</x:v>
      </x:c>
      <x:c r="H37" s="17" t="str">
        <x:v>CN10.5 / H14.1</x:v>
      </x:c>
      <x:c r="I37" s="17" t="s">
        <x:v>378</x:v>
      </x:c>
      <x:c r="J37" s="30" t="s">
        <x:v>55</x:v>
      </x:c>
    </x:row>
    <x:row r="38" ht="14.300000190734863">
      <x:c r="A38" s="16" t="s">
        <x:v>375</x:v>
      </x:c>
      <x:c r="B38" s="17">
        <x:v>2</x:v>
      </x:c>
      <x:c r="C38" s="17" t="str">
        <x:v>RED_OUT_K</x:v>
      </x:c>
      <x:c r="D38" s="17" t="s">
        <x:v>362</x:v>
      </x:c>
      <x:c r="E38" s="17" t="s">
        <x:v>48</x:v>
      </x:c>
      <x:c r="F38" s="17" t="s">
        <x:v>379</x:v>
      </x:c>
      <x:c r="G38" s="17" t="s">
        <x:v>380</x:v>
      </x:c>
      <x:c r="H38" s="17" t="str">
        <x:v>CN10.7 / H14.2</x:v>
      </x:c>
      <x:c r="I38" s="17" t="s">
        <x:v>381</x:v>
      </x:c>
      <x:c r="J38" s="30" t="s">
        <x:v>55</x:v>
      </x:c>
    </x:row>
    <x:row r="39" ht="14.300000190734863">
      <x:c r="A39" s="16" t="s">
        <x:v>382</x:v>
      </x:c>
      <x:c r="B39" s="17">
        <x:v>1</x:v>
      </x:c>
      <x:c r="C39" s="17" t="s">
        <x:v>222</x:v>
      </x:c>
      <x:c r="D39" s="17" t="s">
        <x:v>362</x:v>
      </x:c>
      <x:c r="E39" s="17" t="s">
        <x:v>223</x:v>
      </x:c>
      <x:c r="F39" s="17" t="s">
        <x:v>90</x:v>
      </x:c>
      <x:c r="G39" s="17" t="s">
        <x:v>225</x:v>
      </x:c>
      <x:c r="H39" s="17" t="str">
        <x:v>无网络</x:v>
      </x:c>
      <x:c r="I39" s="17" t="s">
        <x:v>224</x:v>
      </x:c>
      <x:c r="J39" s="32" t="s">
        <x:v>222</x:v>
      </x:c>
    </x:row>
    <x:row r="40" ht="14.300000190734863">
      <x:c r="A40" s="16" t="s">
        <x:v>382</x:v>
      </x:c>
      <x:c r="B40" s="17">
        <x:v>2</x:v>
      </x:c>
      <x:c r="C40" s="17" t="str">
        <x:v>V_BATTERY</x:v>
      </x:c>
      <x:c r="D40" s="17" t="s">
        <x:v>362</x:v>
      </x:c>
      <x:c r="E40" s="17" t="s">
        <x:v>96</x:v>
      </x:c>
      <x:c r="F40" s="17" t="s">
        <x:v>363</x:v>
      </x:c>
      <x:c r="G40" s="17" t="s">
        <x:v>383</x:v>
      </x:c>
      <x:c r="H40" s="17" t="str">
        <x:v>CN10.3 / H15.2</x:v>
      </x:c>
      <x:c r="I40" s="17" t="s">
        <x:v>384</x:v>
      </x:c>
      <x:c r="J40" s="30" t="s">
        <x:v>55</x:v>
      </x:c>
    </x:row>
    <x:row r="41" ht="14.300000190734863">
      <x:c r="A41" s="16" t="s">
        <x:v>385</x:v>
      </x:c>
      <x:c r="B41" s="17">
        <x:v>1</x:v>
      </x:c>
      <x:c r="C41" s="17" t="str">
        <x:v>MAINP#</x:v>
      </x:c>
      <x:c r="D41" s="17" t="s">
        <x:v>362</x:v>
      </x:c>
      <x:c r="E41" s="17" t="s">
        <x:v>96</x:v>
      </x:c>
      <x:c r="F41" s="17" t="s">
        <x:v>206</x:v>
      </x:c>
      <x:c r="G41" s="17" t="str">
        <x:v>来自CN9.7，经R45=47Ω串联</x:v>
      </x:c>
      <x:c r="H41" s="17" t="str">
        <x:v>H16.1 / R45.1</x:v>
      </x:c>
      <x:c r="I41" s="17" t="str">
        <x:v>与MAINP_ACTUAL互补；CN9侧串联47Ω</x:v>
      </x:c>
      <x:c r="J41" s="30" t="s">
        <x:v>55</x:v>
      </x:c>
    </x:row>
    <x:row r="42" ht="14.300000190734863">
      <x:c r="A42" s="16" t="s">
        <x:v>385</x:v>
      </x:c>
      <x:c r="B42" s="17">
        <x:v>2</x:v>
      </x:c>
      <x:c r="C42" s="17" t="str">
        <x:v>MAINP_ACTUAL</x:v>
      </x:c>
      <x:c r="D42" s="17" t="s">
        <x:v>362</x:v>
      </x:c>
      <x:c r="E42" s="17" t="s">
        <x:v>96</x:v>
      </x:c>
      <x:c r="F42" s="17" t="s">
        <x:v>202</x:v>
      </x:c>
      <x:c r="G42" s="17" t="str">
        <x:v>来自CN9.9，经R46=47Ω串联</x:v>
      </x:c>
      <x:c r="H42" s="17" t="str">
        <x:v>H16.2 / R46.1</x:v>
      </x:c>
      <x:c r="I42" s="17" t="str">
        <x:v>与MAINP#互补；CN9侧串联47Ω</x:v>
      </x:c>
      <x:c r="J42" s="30" t="s">
        <x:v>55</x:v>
      </x:c>
    </x:row>
    <x:row r="43" ht="14.300000190734863">
      <x:c r="A43" s="16" t="s">
        <x:v>386</x:v>
      </x:c>
      <x:c r="B43" s="17">
        <x:v>1</x:v>
      </x:c>
      <x:c r="C43" s="17" t="str">
        <x:v>IMD_LED</x:v>
      </x:c>
      <x:c r="D43" s="17" t="s">
        <x:v>360</x:v>
      </x:c>
      <x:c r="E43" s="17" t="s">
        <x:v>48</x:v>
      </x:c>
      <x:c r="F43" s="17" t="s">
        <x:v>387</x:v>
      </x:c>
      <x:c r="G43" s="17" t="s">
        <x:v>388</x:v>
      </x:c>
      <x:c r="H43" s="17" t="str">
        <x:v>D30.2 / H17.1</x:v>
      </x:c>
      <x:c r="I43" s="17" t="s">
        <x:v>389</x:v>
      </x:c>
      <x:c r="J43" s="30" t="s">
        <x:v>55</x:v>
      </x:c>
    </x:row>
    <x:row r="44" ht="14.300000190734863">
      <x:c r="A44" s="16" t="s">
        <x:v>386</x:v>
      </x:c>
      <x:c r="B44" s="17">
        <x:v>2</x:v>
      </x:c>
      <x:c r="C44" s="17" t="str">
        <x:v>BMS_LED</x:v>
      </x:c>
      <x:c r="D44" s="17" t="s">
        <x:v>360</x:v>
      </x:c>
      <x:c r="E44" s="17" t="s">
        <x:v>48</x:v>
      </x:c>
      <x:c r="F44" s="17" t="s">
        <x:v>387</x:v>
      </x:c>
      <x:c r="G44" s="17" t="s">
        <x:v>390</x:v>
      </x:c>
      <x:c r="H44" s="17" t="str">
        <x:v>D32.2 / H17.2</x:v>
      </x:c>
      <x:c r="I44" s="17" t="s">
        <x:v>391</x:v>
      </x:c>
      <x:c r="J44" s="30" t="s">
        <x:v>55</x:v>
      </x:c>
    </x:row>
    <x:row r="45" ht="14.300000190734863">
      <x:c r="A45" s="16" t="s">
        <x:v>386</x:v>
      </x:c>
      <x:c r="B45" s="17">
        <x:v>3</x:v>
      </x:c>
      <x:c r="C45" s="17" t="str">
        <x:v>R_E_LED</x:v>
      </x:c>
      <x:c r="D45" s="17" t="s">
        <x:v>360</x:v>
      </x:c>
      <x:c r="E45" s="17" t="str">
        <x:v>输出/冗余</x:v>
      </x:c>
      <x:c r="F45" s="17" t="str">
        <x:v>5V逻辑（冗余未使用）</x:v>
      </x:c>
      <x:c r="G45" s="17" t="str">
        <x:v>仅H17.3单节点，按设计预留</x:v>
      </x:c>
      <x:c r="H45" s="17" t="str">
        <x:v>H17.3</x:v>
      </x:c>
      <x:c r="I45" s="17" t="str">
        <x:v>锁存板设计冗余接口，无实际用途</x:v>
      </x:c>
      <x:c r="J45" s="61" t="str">
        <x:v>冗余</x:v>
      </x:c>
    </x:row>
    <x:row r="46" ht="14.300000190734863">
      <x:c r="A46" s="16" t="s">
        <x:v>392</x:v>
      </x:c>
      <x:c r="B46" s="17">
        <x:v>1</x:v>
      </x:c>
      <x:c r="C46" s="17" t="str">
        <x:v>PRE#</x:v>
      </x:c>
      <x:c r="D46" s="17" t="s">
        <x:v>362</x:v>
      </x:c>
      <x:c r="E46" s="17" t="s">
        <x:v>96</x:v>
      </x:c>
      <x:c r="F46" s="17" t="s">
        <x:v>206</x:v>
      </x:c>
      <x:c r="G46" s="17" t="str">
        <x:v>来自CN9.3，经R43=47Ω串联</x:v>
      </x:c>
      <x:c r="H46" s="17" t="str">
        <x:v>H18.1 / R43.1</x:v>
      </x:c>
      <x:c r="I46" s="17" t="str">
        <x:v>与PRE_ACTUAL互补；CN9侧串联47Ω</x:v>
      </x:c>
      <x:c r="J46" s="30" t="s">
        <x:v>55</x:v>
      </x:c>
    </x:row>
    <x:row r="47" ht="14.300000190734863">
      <x:c r="A47" s="16" t="s">
        <x:v>392</x:v>
      </x:c>
      <x:c r="B47" s="17">
        <x:v>2</x:v>
      </x:c>
      <x:c r="C47" s="17" t="str">
        <x:v>PRE_ACTUAL</x:v>
      </x:c>
      <x:c r="D47" s="17" t="s">
        <x:v>362</x:v>
      </x:c>
      <x:c r="E47" s="17" t="s">
        <x:v>96</x:v>
      </x:c>
      <x:c r="F47" s="17" t="s">
        <x:v>202</x:v>
      </x:c>
      <x:c r="G47" s="17" t="str">
        <x:v>来自CN9.5，经R44=47Ω串联</x:v>
      </x:c>
      <x:c r="H47" s="17" t="str">
        <x:v>H18.2 / R44.1</x:v>
      </x:c>
      <x:c r="I47" s="17" t="str">
        <x:v>与PRE#互补；CN9侧串联47Ω</x:v>
      </x:c>
      <x:c r="J47" s="30" t="s">
        <x:v>55</x:v>
      </x:c>
    </x:row>
    <x:row r="48" ht="14.300000190734863">
      <x:c r="A48" s="16" t="s">
        <x:v>393</x:v>
      </x:c>
      <x:c r="B48" s="17">
        <x:v>1</x:v>
      </x:c>
      <x:c r="C48" s="17" t="str">
        <x:v>SDC</x:v>
      </x:c>
      <x:c r="D48" s="17" t="s">
        <x:v>360</x:v>
      </x:c>
      <x:c r="E48" s="17" t="s">
        <x:v>349</x:v>
      </x:c>
      <x:c r="F48" s="17" t="s">
        <x:v>25</x:v>
      </x:c>
      <x:c r="G48" s="17" t="s">
        <x:v>350</x:v>
      </x:c>
      <x:c r="H48" s="17" t="str">
        <x:v>H6.2 / H19.1</x:v>
      </x:c>
      <x:c r="I48" s="17" t="s">
        <x:v>351</x:v>
      </x:c>
      <x:c r="J48" s="30" t="s">
        <x:v>55</x:v>
      </x:c>
    </x:row>
    <x:row r="49" ht="14.300000190734863">
      <x:c r="A49" s="16" t="s">
        <x:v>393</x:v>
      </x:c>
      <x:c r="B49" s="17">
        <x:v>2</x:v>
      </x:c>
      <x:c r="C49" s="17" t="str">
        <x:v>SCOUT</x:v>
      </x:c>
      <x:c r="D49" s="17" t="s">
        <x:v>360</x:v>
      </x:c>
      <x:c r="E49" s="17" t="s">
        <x:v>48</x:v>
      </x:c>
      <x:c r="F49" s="17" t="s">
        <x:v>280</x:v>
      </x:c>
      <x:c r="G49" s="17" t="s">
        <x:v>394</x:v>
      </x:c>
      <x:c r="H49" s="17" t="str">
        <x:v>CN11.6 / H19.2</x:v>
      </x:c>
      <x:c r="I49" s="17" t="s">
        <x:v>395</x:v>
      </x:c>
      <x:c r="J49" s="30" t="s">
        <x:v>55</x:v>
      </x:c>
    </x:row>
    <x:row r="50" ht="14.300000190734863">
      <x:c r="A50" s="16" t="s">
        <x:v>396</x:v>
      </x:c>
      <x:c r="B50" s="17">
        <x:v>1</x:v>
      </x:c>
      <x:c r="C50" s="17" t="str">
        <x:v>MAINN_ACTUAL</x:v>
      </x:c>
      <x:c r="D50" s="17" t="s">
        <x:v>362</x:v>
      </x:c>
      <x:c r="E50" s="17" t="s">
        <x:v>96</x:v>
      </x:c>
      <x:c r="F50" s="17" t="s">
        <x:v>202</x:v>
      </x:c>
      <x:c r="G50" s="17" t="str">
        <x:v>来自CN9.1，经R42=47Ω串联</x:v>
      </x:c>
      <x:c r="H50" s="17" t="str">
        <x:v>H20.1 / R42.1</x:v>
      </x:c>
      <x:c r="I50" s="17" t="str">
        <x:v>与MAINN#互补；CN9侧串联47Ω</x:v>
      </x:c>
      <x:c r="J50" s="30" t="s">
        <x:v>55</x:v>
      </x:c>
    </x:row>
    <x:row r="51" ht="14.300000190734863">
      <x:c r="A51" s="19" t="s">
        <x:v>396</x:v>
      </x:c>
      <x:c r="B51" s="20">
        <x:v>2</x:v>
      </x:c>
      <x:c r="C51" s="20" t="str">
        <x:v>MAINN#</x:v>
      </x:c>
      <x:c r="D51" s="20" t="s">
        <x:v>362</x:v>
      </x:c>
      <x:c r="E51" s="20" t="s">
        <x:v>96</x:v>
      </x:c>
      <x:c r="F51" s="20" t="s">
        <x:v>206</x:v>
      </x:c>
      <x:c r="G51" s="20" t="str">
        <x:v>来自CN9.2，经R47=47Ω串联</x:v>
      </x:c>
      <x:c r="H51" s="20" t="str">
        <x:v>H20.2 / R47.2</x:v>
      </x:c>
      <x:c r="I51" s="20" t="str">
        <x:v>与MAINN_ACTUAL互补；CN9侧串联47Ω</x:v>
      </x:c>
      <x:c r="J51" s="33" t="s">
        <x:v>55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b319ce882ca14deb"/>
  </x:tableParts>
</x:worksheet>
</file>

<file path=xl/worksheets/sheet4.xml><?xml version="1.0" encoding="utf-8"?>
<x:worksheet xmlns:x="http://schemas.openxmlformats.org/spreadsheetml/2006/main">
  <x:sheetFormatPr defaultRowHeight="13.600000381469727"/>
  <x:cols>
    <x:col min="1" max="1" width="14" customWidth="1"/>
    <x:col min="2" max="2" width="27" customWidth="1"/>
    <x:col min="3" max="3" width="18" customWidth="1"/>
    <x:col min="4" max="4" width="23" customWidth="1"/>
    <x:col min="5" max="5" width="25" customWidth="1"/>
    <x:col min="6" max="6" width="48" customWidth="1"/>
    <x:col min="7" max="7" width="40" customWidth="1"/>
  </x:cols>
  <x:sheetData>
    <x:row r="1" ht="21.100000381469727">
      <x:c r="A1" s="39" t="str">
        <x:v>VCU相关I/O速查表（v7；G5Q 3脚常开、4脚常闭）</x:v>
      </x:c>
      <x:c r="B1" s="39"/>
      <x:c r="C1" s="39"/>
      <x:c r="D1" s="39"/>
      <x:c r="E1" s="39"/>
      <x:c r="F1" s="39"/>
      <x:c r="G1" s="39"/>
    </x:row>
    <x:row r="2">
      <x:c r="A2" s="40" t="str">
        <x:v>VCU方向以VCU为观察点。三路复位在基板侧经10k上拉至共用约4.7V偏置；K12错误灯继电器仅受CN7.16控制。</x:v>
      </x:c>
      <x:c r="B2" s="40"/>
      <x:c r="C2" s="40"/>
      <x:c r="D2" s="40"/>
      <x:c r="E2" s="40"/>
      <x:c r="F2" s="40"/>
      <x:c r="G2" s="40"/>
    </x:row>
    <x:row r="4" ht="14.300000190734863">
      <x:c r="A4" s="1" t="s">
        <x:v>397</x:v>
      </x:c>
      <x:c r="B4" s="2" t="s">
        <x:v>398</x:v>
      </x:c>
      <x:c r="C4" s="2" t="s">
        <x:v>38</x:v>
      </x:c>
      <x:c r="D4" s="2" t="s">
        <x:v>399</x:v>
      </x:c>
      <x:c r="E4" s="2" t="s">
        <x:v>400</x:v>
      </x:c>
      <x:c r="F4" s="2" t="s">
        <x:v>401</x:v>
      </x:c>
      <x:c r="G4" s="3" t="s">
        <x:v>402</x:v>
      </x:c>
    </x:row>
    <x:row r="5" ht="27.200000762939453">
      <x:c r="A5" s="10" t="s">
        <x:v>403</x:v>
      </x:c>
      <x:c r="B5" s="11" t="s">
        <x:v>404</x:v>
      </x:c>
      <x:c r="C5" s="11" t="s">
        <x:v>405</x:v>
      </x:c>
      <x:c r="D5" s="11" t="s">
        <x:v>406</x:v>
      </x:c>
      <x:c r="E5" s="11" t="s">
        <x:v>407</x:v>
      </x:c>
      <x:c r="F5" s="11" t="s">
        <x:v>408</x:v>
      </x:c>
      <x:c r="G5" s="12" t="s">
        <x:v>409</x:v>
      </x:c>
    </x:row>
    <x:row r="6" ht="27.200000762939453">
      <x:c r="A6" s="10" t="s">
        <x:v>410</x:v>
      </x:c>
      <x:c r="B6" s="11" t="s">
        <x:v>411</x:v>
      </x:c>
      <x:c r="C6" s="11" t="s">
        <x:v>405</x:v>
      </x:c>
      <x:c r="D6" s="11" t="s">
        <x:v>412</x:v>
      </x:c>
      <x:c r="E6" s="11" t="s">
        <x:v>413</x:v>
      </x:c>
      <x:c r="F6" s="11" t="str">
        <x:v>高：驱动K12并点亮EBS/RES错误灯；低/开路：K12释放</x:v>
      </x:c>
      <x:c r="G6" s="12" t="str">
        <x:v>二极管+2N7002K；H17.3 R_E_LED为锁存板冗余接口，按设计未使用</x:v>
      </x:c>
    </x:row>
    <x:row r="7">
      <x:c r="A7" s="10" t="s">
        <x:v>414</x:v>
      </x:c>
      <x:c r="B7" s="11" t="s">
        <x:v>415</x:v>
      </x:c>
      <x:c r="C7" s="11" t="s">
        <x:v>405</x:v>
      </x:c>
      <x:c r="D7" s="11" t="s">
        <x:v>406</x:v>
      </x:c>
      <x:c r="E7" s="11" t="s">
        <x:v>407</x:v>
      </x:c>
      <x:c r="F7" s="11" t="s">
        <x:v>416</x:v>
      </x:c>
      <x:c r="G7" s="12" t="s">
        <x:v>417</x:v>
      </x:c>
    </x:row>
    <x:row r="8">
      <x:c r="A8" s="10" t="s">
        <x:v>418</x:v>
      </x:c>
      <x:c r="B8" s="11" t="s">
        <x:v>419</x:v>
      </x:c>
      <x:c r="C8" s="11" t="s">
        <x:v>405</x:v>
      </x:c>
      <x:c r="D8" s="11" t="s">
        <x:v>406</x:v>
      </x:c>
      <x:c r="E8" s="11" t="s">
        <x:v>407</x:v>
      </x:c>
      <x:c r="F8" s="11" t="s">
        <x:v>420</x:v>
      </x:c>
      <x:c r="G8" s="12" t="s">
        <x:v>417</x:v>
      </x:c>
    </x:row>
    <x:row r="9">
      <x:c r="A9" s="10" t="s">
        <x:v>421</x:v>
      </x:c>
      <x:c r="B9" s="11" t="s">
        <x:v>422</x:v>
      </x:c>
      <x:c r="C9" s="11" t="s">
        <x:v>405</x:v>
      </x:c>
      <x:c r="D9" s="11" t="s">
        <x:v>412</x:v>
      </x:c>
      <x:c r="E9" s="11" t="s">
        <x:v>423</x:v>
      </x:c>
      <x:c r="F9" s="11" t="s">
        <x:v>424</x:v>
      </x:c>
      <x:c r="G9" s="12" t="s">
        <x:v>425</x:v>
      </x:c>
    </x:row>
    <x:row r="10">
      <x:c r="A10" s="10" t="s">
        <x:v>426</x:v>
      </x:c>
      <x:c r="B10" s="11" t="s">
        <x:v>427</x:v>
      </x:c>
      <x:c r="C10" s="11" t="s">
        <x:v>405</x:v>
      </x:c>
      <x:c r="D10" s="11" t="s">
        <x:v>412</x:v>
      </x:c>
      <x:c r="E10" s="11" t="s">
        <x:v>423</x:v>
      </x:c>
      <x:c r="F10" s="11" t="s">
        <x:v>428</x:v>
      </x:c>
      <x:c r="G10" s="12" t="s">
        <x:v>425</x:v>
      </x:c>
    </x:row>
    <x:row r="11">
      <x:c r="A11" s="10" t="s">
        <x:v>429</x:v>
      </x:c>
      <x:c r="B11" s="11" t="str">
        <x:v>IMD_RESET</x:v>
      </x:c>
      <x:c r="C11" s="11" t="s">
        <x:v>405</x:v>
      </x:c>
      <x:c r="D11" s="11" t="str">
        <x:v>开漏/开集拉低输入 + 10k上拉</x:v>
      </x:c>
      <x:c r="E11" s="11" t="str">
        <x:v>约4.7V默认高，低脉冲有效；外部12V经10k约0.73mA</x:v>
      </x:c>
      <x:c r="F11" s="11" t="str">
        <x:v>开路默认高；拉低复位IMD锁存</x:v>
      </x:c>
      <x:c r="G11" s="12" t="str">
        <x:v>R48=10k接共用4.7V偏置；确认VCU上电默认态</x:v>
      </x:c>
    </x:row>
    <x:row r="12">
      <x:c r="A12" s="10" t="s">
        <x:v>430</x:v>
      </x:c>
      <x:c r="B12" s="11" t="str">
        <x:v>BMS_RESET</x:v>
      </x:c>
      <x:c r="C12" s="11" t="s">
        <x:v>405</x:v>
      </x:c>
      <x:c r="D12" s="11" t="str">
        <x:v>开漏/开集拉低输入 + 10k上拉</x:v>
      </x:c>
      <x:c r="E12" s="11" t="str">
        <x:v>约4.7V默认高，低脉冲有效；外部12V经10k约0.73mA</x:v>
      </x:c>
      <x:c r="F12" s="11" t="str">
        <x:v>开路默认高；拉低复位BMS锁存</x:v>
      </x:c>
      <x:c r="G12" s="12" t="str">
        <x:v>R49=10k接共用4.7V偏置；确认VCU上电默认态</x:v>
      </x:c>
    </x:row>
    <x:row r="13">
      <x:c r="A13" s="10" t="s">
        <x:v>431</x:v>
      </x:c>
      <x:c r="B13" s="11" t="str">
        <x:v>R_E_RESET</x:v>
      </x:c>
      <x:c r="C13" s="11" t="s">
        <x:v>405</x:v>
      </x:c>
      <x:c r="D13" s="11" t="str">
        <x:v>开漏/开集拉低输入 + 10k上拉</x:v>
      </x:c>
      <x:c r="E13" s="11" t="str">
        <x:v>约4.7V默认高，低脉冲有效；外部12V经10k约0.73mA</x:v>
      </x:c>
      <x:c r="F13" s="11" t="str">
        <x:v>开路默认高；拉低复位EBS/RES锁存</x:v>
      </x:c>
      <x:c r="G13" s="12" t="str">
        <x:v>R50=10k接共用4.7V偏置；确认VCU上电默认态</x:v>
      </x:c>
    </x:row>
    <x:row r="14" ht="27.200000762939453">
      <x:c r="A14" s="10" t="s">
        <x:v>432</x:v>
      </x:c>
      <x:c r="B14" s="11" t="s">
        <x:v>433</x:v>
      </x:c>
      <x:c r="C14" s="11" t="s">
        <x:v>405</x:v>
      </x:c>
      <x:c r="D14" s="11" t="s">
        <x:v>434</x:v>
      </x:c>
      <x:c r="E14" s="11" t="s">
        <x:v>435</x:v>
      </x:c>
      <x:c r="F14" s="11" t="s">
        <x:v>436</x:v>
      </x:c>
      <x:c r="G14" s="12" t="s">
        <x:v>437</x:v>
      </x:c>
    </x:row>
    <x:row r="15">
      <x:c r="A15" s="10" t="s">
        <x:v>438</x:v>
      </x:c>
      <x:c r="B15" s="11" t="s">
        <x:v>439</x:v>
      </x:c>
      <x:c r="C15" s="11" t="s">
        <x:v>405</x:v>
      </x:c>
      <x:c r="D15" s="11" t="s">
        <x:v>434</x:v>
      </x:c>
      <x:c r="E15" s="11" t="s">
        <x:v>435</x:v>
      </x:c>
      <x:c r="F15" s="11" t="s">
        <x:v>440</x:v>
      </x:c>
      <x:c r="G15" s="12" t="s">
        <x:v>437</x:v>
      </x:c>
    </x:row>
    <x:row r="16">
      <x:c r="A16" s="10" t="s">
        <x:v>441</x:v>
      </x:c>
      <x:c r="B16" s="11" t="s">
        <x:v>442</x:v>
      </x:c>
      <x:c r="C16" s="11" t="s">
        <x:v>405</x:v>
      </x:c>
      <x:c r="D16" s="11" t="s">
        <x:v>434</x:v>
      </x:c>
      <x:c r="E16" s="11" t="s">
        <x:v>435</x:v>
      </x:c>
      <x:c r="F16" s="11" t="s">
        <x:v>443</x:v>
      </x:c>
      <x:c r="G16" s="12" t="s">
        <x:v>437</x:v>
      </x:c>
    </x:row>
    <x:row r="17">
      <x:c r="A17" s="10" t="s">
        <x:v>444</x:v>
      </x:c>
      <x:c r="B17" s="11" t="s">
        <x:v>445</x:v>
      </x:c>
      <x:c r="C17" s="11" t="s">
        <x:v>405</x:v>
      </x:c>
      <x:c r="D17" s="11" t="s">
        <x:v>434</x:v>
      </x:c>
      <x:c r="E17" s="11" t="s">
        <x:v>435</x:v>
      </x:c>
      <x:c r="F17" s="11" t="s">
        <x:v>446</x:v>
      </x:c>
      <x:c r="G17" s="12" t="s">
        <x:v>437</x:v>
      </x:c>
    </x:row>
    <x:row r="18">
      <x:c r="A18" s="10" t="s">
        <x:v>447</x:v>
      </x:c>
      <x:c r="B18" s="11" t="s">
        <x:v>448</x:v>
      </x:c>
      <x:c r="C18" s="11" t="s">
        <x:v>449</x:v>
      </x:c>
      <x:c r="D18" s="11" t="s">
        <x:v>450</x:v>
      </x:c>
      <x:c r="E18" s="11" t="s">
        <x:v>451</x:v>
      </x:c>
      <x:c r="F18" s="11" t="s">
        <x:v>452</x:v>
      </x:c>
      <x:c r="G18" s="12" t="s">
        <x:v>453</x:v>
      </x:c>
    </x:row>
    <x:row r="19">
      <x:c r="A19" s="10" t="s">
        <x:v>454</x:v>
      </x:c>
      <x:c r="B19" s="11" t="s">
        <x:v>455</x:v>
      </x:c>
      <x:c r="C19" s="11" t="s">
        <x:v>449</x:v>
      </x:c>
      <x:c r="D19" s="11" t="s">
        <x:v>450</x:v>
      </x:c>
      <x:c r="E19" s="11" t="s">
        <x:v>451</x:v>
      </x:c>
      <x:c r="F19" s="11" t="s">
        <x:v>456</x:v>
      </x:c>
      <x:c r="G19" s="12" t="s">
        <x:v>453</x:v>
      </x:c>
    </x:row>
    <x:row r="20">
      <x:c r="A20" s="10" t="s">
        <x:v>457</x:v>
      </x:c>
      <x:c r="B20" s="11" t="s">
        <x:v>458</x:v>
      </x:c>
      <x:c r="C20" s="11" t="s">
        <x:v>449</x:v>
      </x:c>
      <x:c r="D20" s="11" t="s">
        <x:v>450</x:v>
      </x:c>
      <x:c r="E20" s="11" t="s">
        <x:v>459</x:v>
      </x:c>
      <x:c r="F20" s="11" t="s">
        <x:v>460</x:v>
      </x:c>
      <x:c r="G20" s="12" t="s">
        <x:v>461</x:v>
      </x:c>
    </x:row>
    <x:row r="21">
      <x:c r="A21" s="10" t="s">
        <x:v>462</x:v>
      </x:c>
      <x:c r="B21" s="11" t="s">
        <x:v>463</x:v>
      </x:c>
      <x:c r="C21" s="11" t="s">
        <x:v>464</x:v>
      </x:c>
      <x:c r="D21" s="11" t="s">
        <x:v>259</x:v>
      </x:c>
      <x:c r="E21" s="11" t="s">
        <x:v>465</x:v>
      </x:c>
      <x:c r="F21" s="11" t="s">
        <x:v>466</x:v>
      </x:c>
      <x:c r="G21" s="12" t="s">
        <x:v>467</x:v>
      </x:c>
    </x:row>
    <x:row r="22">
      <x:c r="A22" s="10" t="s">
        <x:v>468</x:v>
      </x:c>
      <x:c r="B22" s="11" t="str">
        <x:v>EBS_TRIG_IN（网表$1N393）</x:v>
      </x:c>
      <x:c r="C22" s="11" t="s">
        <x:v>464</x:v>
      </x:c>
      <x:c r="D22" s="11" t="s">
        <x:v>469</x:v>
      </x:c>
      <x:c r="E22" s="11" t="s">
        <x:v>470</x:v>
      </x:c>
      <x:c r="F22" s="11" t="s">
        <x:v>471</x:v>
      </x:c>
      <x:c r="G22" s="12" t="str">
        <x:v>连接器侧为$1N393；R7/D21/R41限流钳位</x:v>
      </x:c>
    </x:row>
    <x:row r="23">
      <x:c r="A23" s="10" t="s">
        <x:v>472</x:v>
      </x:c>
      <x:c r="B23" s="11" t="s">
        <x:v>473</x:v>
      </x:c>
      <x:c r="C23" s="11" t="s">
        <x:v>474</x:v>
      </x:c>
      <x:c r="D23" s="11" t="s">
        <x:v>337</x:v>
      </x:c>
      <x:c r="E23" s="11" t="s">
        <x:v>475</x:v>
      </x:c>
      <x:c r="F23" s="11" t="s">
        <x:v>268</x:v>
      </x:c>
      <x:c r="G23" s="12" t="s">
        <x:v>476</x:v>
      </x:c>
    </x:row>
    <x:row r="24">
      <x:c r="A24" s="13" t="s">
        <x:v>477</x:v>
      </x:c>
      <x:c r="B24" s="14" t="s">
        <x:v>478</x:v>
      </x:c>
      <x:c r="C24" s="14" t="s">
        <x:v>474</x:v>
      </x:c>
      <x:c r="D24" s="14" t="s">
        <x:v>337</x:v>
      </x:c>
      <x:c r="E24" s="14" t="s">
        <x:v>475</x:v>
      </x:c>
      <x:c r="F24" s="14" t="s">
        <x:v>479</x:v>
      </x:c>
      <x:c r="G24" s="15" t="s">
        <x:v>476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63a0bf944834027"/>
  </x:tableParts>
</x:worksheet>
</file>

<file path=xl/worksheets/sheet5.xml><?xml version="1.0" encoding="utf-8"?>
<x:worksheet xmlns:x="http://schemas.openxmlformats.org/spreadsheetml/2006/main">
  <x:sheetFormatPr defaultRowHeight="13.600000381469727"/>
  <x:cols>
    <x:col min="1" max="1" width="9" customWidth="1"/>
    <x:col min="2" max="2" width="12" customWidth="1"/>
    <x:col min="3" max="3" width="32" customWidth="1"/>
    <x:col min="4" max="4" width="47" customWidth="1"/>
    <x:col min="5" max="5" width="42" customWidth="1"/>
    <x:col min="6" max="6" width="48" customWidth="1"/>
    <x:col min="7" max="7" width="18" customWidth="1"/>
  </x:cols>
  <x:sheetData>
    <x:row r="1" ht="21.100000381469727">
      <x:c r="A1" s="39" t="str">
        <x:v>接口待确认事项与验证要求（v7）</x:v>
      </x:c>
      <x:c r="B1" s="39"/>
      <x:c r="C1" s="39"/>
      <x:c r="D1" s="39"/>
      <x:c r="E1" s="39"/>
      <x:c r="F1" s="39"/>
      <x:c r="G1" s="39"/>
    </x:row>
    <x:row r="2">
      <x:c r="A2" s="40" t="s">
        <x:v>480</x:v>
      </x:c>
      <x:c r="B2" s="40"/>
      <x:c r="C2" s="40"/>
      <x:c r="D2" s="40"/>
      <x:c r="E2" s="40"/>
      <x:c r="F2" s="40"/>
      <x:c r="G2" s="40"/>
    </x:row>
    <x:row r="4" ht="14.300000190734863">
      <x:c r="A4" s="1" t="s">
        <x:v>481</x:v>
      </x:c>
      <x:c r="B4" s="2" t="s">
        <x:v>482</x:v>
      </x:c>
      <x:c r="C4" s="2" t="s">
        <x:v>483</x:v>
      </x:c>
      <x:c r="D4" s="2" t="s">
        <x:v>484</x:v>
      </x:c>
      <x:c r="E4" s="2" t="s">
        <x:v>29</x:v>
      </x:c>
      <x:c r="F4" s="2" t="s">
        <x:v>485</x:v>
      </x:c>
      <x:c r="G4" s="3" t="s">
        <x:v>34</x:v>
      </x:c>
    </x:row>
    <x:row r="5" ht="26.399999618530273" hidden="0" customHeight="1">
      <x:c r="A5" s="45" t="str">
        <x:v>P01</x:v>
      </x:c>
      <x:c r="B5" s="56" t="str">
        <x:v>高</x:v>
      </x:c>
      <x:c r="C5" s="45" t="str">
        <x:v>AOD4185三路输出允许电流未冻结</x:v>
      </x:c>
      <x:c r="D5" s="45" t="str">
        <x:v>ASMS_VCU、SHUTDOWN_START、SHUTDOWN_END采用AOD4185高边开关</x:v>
      </x:c>
      <x:c r="E5" s="45" t="str">
        <x:v>器件本身导通电阻低，但连接器、铜皮、过孔、保险和温升决定实际接口额定</x:v>
      </x:c>
      <x:c r="F5" s="45" t="str">
        <x:v>提供三路持续/浪涌电流及负载类型，完成热设计和保险选型</x:v>
      </x:c>
      <x:c r="G5" s="45" t="str">
        <x:v>待系统确认</x:v>
      </x:c>
    </x:row>
    <x:row r="6" ht="13.600000381469727" hidden="0" customHeight="1">
      <x:c r="A6" s="45" t="str">
        <x:v>P02</x:v>
      </x:c>
      <x:c r="B6" s="62" t="str">
        <x:v>低</x:v>
      </x:c>
      <x:c r="C6" s="45" t="str">
        <x:v>R_E_LED为锁存板冗余接口</x:v>
      </x:c>
      <x:c r="D6" s="45" t="str">
        <x:v>H17.3为单节点，按锁存板设计预留</x:v>
      </x:c>
      <x:c r="E6" s="45" t="str">
        <x:v>无实际功能，不参与K12错误灯控制</x:v>
      </x:c>
      <x:c r="F6" s="45" t="str">
        <x:v>保持未使用；线束及软件不得依赖该接口</x:v>
      </x:c>
      <x:c r="G6" s="63" t="str">
        <x:v>已确认</x:v>
      </x:c>
    </x:row>
    <x:row r="7" ht="13.600000381469727" hidden="0" customHeight="1">
      <x:c r="A7" s="45" t="str">
        <x:v>P03</x:v>
      </x:c>
      <x:c r="B7" s="57" t="str">
        <x:v>中</x:v>
      </x:c>
      <x:c r="C7" s="45" t="str">
        <x:v>EBS_CHECK与VCU_FB极性未冻结</x:v>
      </x:c>
      <x:c r="D7" s="45" t="str">
        <x:v>两路均由EBS板直通基板</x:v>
      </x:c>
      <x:c r="E7" s="45" t="str">
        <x:v>软件无法仅凭网络名确定故障/正常电平</x:v>
      </x:c>
      <x:c r="F7" s="45" t="str">
        <x:v>台架覆盖正常、触发、看门狗故障、掉电和断线状态</x:v>
      </x:c>
      <x:c r="G7" s="45" t="str">
        <x:v>待台架确认</x:v>
      </x:c>
    </x:row>
    <x:row r="8" ht="13.600000381469727" hidden="0" customHeight="1">
      <x:c r="A8" s="45" t="str">
        <x:v>P04</x:v>
      </x:c>
      <x:c r="B8" s="57" t="str">
        <x:v>中</x:v>
      </x:c>
      <x:c r="C8" s="45" t="str">
        <x:v>IMD/BMS模拟错误阈值需冻结</x:v>
      </x:c>
      <x:c r="D8" s="45" t="str">
        <x:v>CN8.4/5无基板调理，直接送比较器板</x:v>
      </x:c>
      <x:c r="E8" s="45" t="str">
        <x:v>设备输出容差可能影响错误判断</x:v>
      </x:c>
      <x:c r="F8" s="45" t="str">
        <x:v>用真实IMD/BMS输出做电压窗口扫描</x:v>
      </x:c>
      <x:c r="G8" s="45" t="str">
        <x:v>待台架确认</x:v>
      </x:c>
    </x:row>
    <x:row r="9" ht="13.600000381469727" hidden="0" customHeight="1">
      <x:c r="A9" s="45" t="str">
        <x:v>P05</x:v>
      </x:c>
      <x:c r="B9" s="57" t="str">
        <x:v>中</x:v>
      </x:c>
      <x:c r="C9" s="45" t="str">
        <x:v>AS_PWR由外部提供</x:v>
      </x:c>
      <x:c r="D9" s="45" t="str">
        <x:v>CN8.20仅连接HF115F触点，基板没有DC/DC</x:v>
      </x:c>
      <x:c r="E9" s="45" t="str">
        <x:v>没有外部AS_PWR时，OSDC_ASRL不会获得电压</x:v>
      </x:c>
      <x:c r="F9" s="45" t="str">
        <x:v>在线束图定义电压、地参考、保险和负载能力</x:v>
      </x:c>
      <x:c r="G9" s="45" t="str">
        <x:v>待系统确认</x:v>
      </x:c>
    </x:row>
    <x:row r="10" ht="26.399999618530273" hidden="0" customHeight="1">
      <x:c r="A10" s="45" t="str">
        <x:v>P06</x:v>
      </x:c>
      <x:c r="B10" s="57" t="str">
        <x:v>中</x:v>
      </x:c>
      <x:c r="C10" s="45" t="str">
        <x:v>光耦当前不构成电气隔离</x:v>
      </x:c>
      <x:c r="D10" s="45" t="str">
        <x:v>U15/U19/U20的LED阴极和输出发射极均接同一GND</x:v>
      </x:c>
      <x:c r="E10" s="45" t="str">
        <x:v>只能作为电平转换/缓冲，不能宣称隔离</x:v>
      </x:c>
      <x:c r="F10" s="45" t="str">
        <x:v>若必须隔离，拆分24V侧和12V侧地；否则按当前文档标注共地</x:v>
      </x:c>
      <x:c r="G10" s="45" t="str">
        <x:v>已同步文档</x:v>
      </x:c>
    </x:row>
    <x:row r="11" ht="13.600000381469727" hidden="0" customHeight="1">
      <x:c r="A11" s="45" t="str">
        <x:v>P07</x:v>
      </x:c>
      <x:c r="B11" s="62" t="str">
        <x:v>低</x:v>
      </x:c>
      <x:c r="C11" s="45" t="str">
        <x:v>RES_ERROR调理位于锁存板</x:v>
      </x:c>
      <x:c r="D11" s="45" t="str">
        <x:v>CN11.2与H9.2直连，调理由锁存板完成</x:v>
      </x:c>
      <x:c r="E11" s="45" t="str">
        <x:v>基板直通符合模块分工</x:v>
      </x:c>
      <x:c r="F11" s="45" t="str">
        <x:v>按锁存板输入额定和测试方案验证</x:v>
      </x:c>
      <x:c r="G11" s="63" t="str">
        <x:v>已确认</x:v>
      </x:c>
    </x:row>
    <x:row r="12" ht="26.399999618530273" hidden="0" customHeight="1">
      <x:c r="A12" s="45" t="str">
        <x:v>P08</x:v>
      </x:c>
      <x:c r="B12" s="62" t="str">
        <x:v>低</x:v>
      </x:c>
      <x:c r="C12" s="45" t="str">
        <x:v>CN7/CN8原NC接口改接GND</x:v>
      </x:c>
      <x:c r="D12" s="45" t="str">
        <x:v>用户确认CN7.11/13/14及CN8.6目标设计为GND；新版base.tel已将四个针脚列入GND网络</x:v>
      </x:c>
      <x:c r="E12" s="45" t="str">
        <x:v>无；原理图、PCB、网表和接口文档已一致</x:v>
      </x:c>
      <x:c r="F12" s="45" t="str">
        <x:v>保持四个针脚接公共GND，后续设计变更同步维护</x:v>
      </x:c>
      <x:c r="G12" s="66" t="str">
        <x:v>已确认</x:v>
      </x:c>
    </x:row>
    <x:row r="13" ht="13.600000381469727" hidden="0" customHeight="1">
      <x:c r="A13" s="45" t="str">
        <x:v>P09</x:v>
      </x:c>
      <x:c r="B13" s="57" t="str">
        <x:v>低</x:v>
      </x:c>
      <x:c r="C13" s="45" t="str">
        <x:v>CN11.3仍为自动网络名</x:v>
      </x:c>
      <x:c r="D13" s="45" t="str">
        <x:v>连接器侧为$1N393，板卡侧为EBS_TRIG</x:v>
      </x:c>
      <x:c r="E13" s="45" t="str">
        <x:v>版本比较和调试不直观</x:v>
      </x:c>
      <x:c r="F13" s="45" t="str">
        <x:v>原理图将连接器侧命名EBS_TRIG_IN</x:v>
      </x:c>
      <x:c r="G13" s="45" t="str">
        <x:v>待设计确认</x:v>
      </x:c>
    </x:row>
    <x:row r="14" ht="26.399999618530273" hidden="0" customHeight="1">
      <x:c r="A14" s="46" t="str">
        <x:v>P10</x:v>
      </x:c>
      <x:c r="B14" s="58" t="str">
        <x:v>中</x:v>
      </x:c>
      <x:c r="C14" s="46" t="str">
        <x:v>复位上电默认态需冻结</x:v>
      </x:c>
      <x:c r="D14" s="46" t="str">
        <x:v>三路复位直通板卡，并经各自10k接共用约4.7V偏置</x:v>
      </x:c>
      <x:c r="E14" s="46" t="str">
        <x:v>VCU启动低电平可能造成非预期复位；12V推挽高需确认兼容性</x:v>
      </x:c>
      <x:c r="F14" s="46" t="str">
        <x:v>规定上电态、驱动方式和脉冲宽度，验证掉电时序</x:v>
      </x:c>
      <x:c r="G14" s="46" t="str">
        <x:v>待系统确认</x:v>
      </x:c>
    </x:row>
    <x:row r="15" ht="26.399999618530273" hidden="0" customHeight="1">
      <x:c r="A15" s="46" t="str">
        <x:v>P11</x:v>
      </x:c>
      <x:c r="B15" s="58" t="str">
        <x:v>中</x:v>
      </x:c>
      <x:c r="C15" s="46" t="str">
        <x:v>G5Q常开输出逻辑需软件明确</x:v>
      </x:c>
      <x:c r="D15" s="46" t="str">
        <x:v>RUN、DI8、制动灯、ASSI和蜂鸣器均使用2(COM)–3(NO)触点</x:v>
      </x:c>
      <x:c r="E15" s="46" t="str">
        <x:v>继电器释放、控制线断开或线圈掉电时输出均为开路</x:v>
      </x:c>
      <x:c r="F15" s="46" t="str">
        <x:v>在VCU I/O表和测试用例写清高/低有效及外部下拉</x:v>
      </x:c>
      <x:c r="G15" s="46" t="str">
        <x:v>待系统确认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8b6e9f872c0e45d5"/>
  </x:tableParts>
</x:worksheet>
</file>

<file path=xl/worksheets/sheet6.xml><?xml version="1.0" encoding="utf-8"?>
<x:worksheet xmlns:x="http://schemas.openxmlformats.org/spreadsheetml/2006/main">
  <x:sheetFormatPr defaultRowHeight="13.600000381469727"/>
  <x:cols>
    <x:col min="1" max="1" width="14" customWidth="1"/>
    <x:col min="2" max="2" width="29" customWidth="1"/>
    <x:col min="3" max="3" width="55" customWidth="1"/>
    <x:col min="4" max="4" width="70" customWidth="1"/>
    <x:col min="5" max="5" width="33" customWidth="1"/>
    <x:col min="6" max="6" width="37" customWidth="1"/>
  </x:cols>
  <x:sheetData>
    <x:row r="1" ht="21.100000381469727">
      <x:c r="A1" s="39" t="str">
        <x:v>核对依据与官方器件资料（v7）</x:v>
      </x:c>
      <x:c r="B1" s="39"/>
      <x:c r="C1" s="39"/>
      <x:c r="D1" s="39"/>
      <x:c r="E1" s="39"/>
      <x:c r="F1" s="39"/>
    </x:row>
    <x:row r="2">
      <x:c r="A2" s="40" t="s">
        <x:v>486</x:v>
      </x:c>
      <x:c r="B2" s="40"/>
      <x:c r="C2" s="40"/>
      <x:c r="D2" s="40"/>
      <x:c r="E2" s="40"/>
      <x:c r="F2" s="40"/>
    </x:row>
    <x:row r="4" ht="14.300000190734863">
      <x:c r="A4" s="1" t="s">
        <x:v>487</x:v>
      </x:c>
      <x:c r="B4" s="2" t="s">
        <x:v>488</x:v>
      </x:c>
      <x:c r="C4" s="2" t="s">
        <x:v>489</x:v>
      </x:c>
      <x:c r="D4" s="2" t="s">
        <x:v>490</x:v>
      </x:c>
      <x:c r="E4" s="2" t="s">
        <x:v>491</x:v>
      </x:c>
      <x:c r="F4" s="3" t="s">
        <x:v>46</x:v>
      </x:c>
    </x:row>
    <x:row r="5" ht="27.200000762939453">
      <x:c r="A5" s="16" t="s">
        <x:v>492</x:v>
      </x:c>
      <x:c r="B5" s="17" t="str">
        <x:v>base.tel</x:v>
      </x:c>
      <x:c r="C5" s="17" t="str">
        <x:v>2026-07-31新版全部连接关系、针脚和网络</x:v>
      </x:c>
      <x:c r="D5" s="17" t="s">
        <x:v>493</x:v>
      </x:c>
      <x:c r="E5" s="17" t="str">
        <x:v>本表连接关系唯一依据</x:v>
      </x:c>
      <x:c r="F5" s="18" t="str">
        <x:v>全部连接已同步；CN7.11/13/14及CN8.6已在新版网表列入GND</x:v>
      </x:c>
    </x:row>
    <x:row r="6" ht="27.200000762939453">
      <x:c r="A6" s="16" t="s">
        <x:v>492</x:v>
      </x:c>
      <x:c r="B6" s="17" t="s">
        <x:v>494</x:v>
      </x:c>
      <x:c r="C6" s="17" t="s">
        <x:v>495</x:v>
      </x:c>
      <x:c r="D6" s="17" t="s">
        <x:v>493</x:v>
      </x:c>
      <x:c r="E6" s="17" t="s">
        <x:v>496</x:v>
      </x:c>
      <x:c r="F6" s="18" t="str">
        <x:v>本次未提供新版BOM，型号/封装沿用原文档</x:v>
      </x:c>
    </x:row>
    <x:row r="7">
      <x:c r="A7" s="16" t="s">
        <x:v>497</x:v>
      </x:c>
      <x:c r="B7" s="17" t="s">
        <x:v>498</x:v>
      </x:c>
      <x:c r="C7" s="17" t="s">
        <x:v>499</x:v>
      </x:c>
      <x:c r="D7" s="17" t="s">
        <x:v>493</x:v>
      </x:c>
      <x:c r="E7" s="17" t="s">
        <x:v>500</x:v>
      </x:c>
      <x:c r="F7" s="18" t="s">
        <x:v>501</x:v>
      </x:c>
    </x:row>
    <x:row r="8" ht="27.200000762939453">
      <x:c r="A8" s="16" t="s">
        <x:v>502</x:v>
      </x:c>
      <x:c r="B8" s="17" t="s">
        <x:v>503</x:v>
      </x:c>
      <x:c r="C8" s="17" t="s">
        <x:v>504</x:v>
      </x:c>
      <x:c r="D8" s="17" t="s">
        <x:v>505</x:v>
      </x:c>
      <x:c r="E8" s="17" t="s">
        <x:v>506</x:v>
      </x:c>
      <x:c r="F8" s="18" t="s">
        <x:v>507</x:v>
      </x:c>
    </x:row>
    <x:row r="9">
      <x:c r="A9" s="16" t="s">
        <x:v>502</x:v>
      </x:c>
      <x:c r="B9" s="17" t="s">
        <x:v>508</x:v>
      </x:c>
      <x:c r="C9" s="17" t="s">
        <x:v>509</x:v>
      </x:c>
      <x:c r="D9" s="17" t="s">
        <x:v>510</x:v>
      </x:c>
      <x:c r="E9" s="17" t="s">
        <x:v>511</x:v>
      </x:c>
      <x:c r="F9" s="18"/>
    </x:row>
    <x:row r="10" ht="27.200000762939453">
      <x:c r="A10" s="16" t="s">
        <x:v>502</x:v>
      </x:c>
      <x:c r="B10" s="17" t="s">
        <x:v>512</x:v>
      </x:c>
      <x:c r="C10" s="17" t="s">
        <x:v>513</x:v>
      </x:c>
      <x:c r="D10" s="17" t="s">
        <x:v>514</x:v>
      </x:c>
      <x:c r="E10" s="17" t="s">
        <x:v>515</x:v>
      </x:c>
      <x:c r="F10" s="18"/>
    </x:row>
    <x:row r="11" ht="27.200000762939453">
      <x:c r="A11" s="16" t="s">
        <x:v>502</x:v>
      </x:c>
      <x:c r="B11" s="17" t="s">
        <x:v>516</x:v>
      </x:c>
      <x:c r="C11" s="17" t="s">
        <x:v>517</x:v>
      </x:c>
      <x:c r="D11" s="17" t="s">
        <x:v>518</x:v>
      </x:c>
      <x:c r="E11" s="17" t="s">
        <x:v>519</x:v>
      </x:c>
      <x:c r="F11" s="18"/>
    </x:row>
    <x:row r="12" ht="27.200000762939453">
      <x:c r="A12" s="16" t="s">
        <x:v>502</x:v>
      </x:c>
      <x:c r="B12" s="17" t="s">
        <x:v>520</x:v>
      </x:c>
      <x:c r="C12" s="17" t="s">
        <x:v>521</x:v>
      </x:c>
      <x:c r="D12" s="17" t="s">
        <x:v>522</x:v>
      </x:c>
      <x:c r="E12" s="17" t="s">
        <x:v>523</x:v>
      </x:c>
      <x:c r="F12" s="18"/>
    </x:row>
    <x:row r="13">
      <x:c r="A13" s="16" t="s">
        <x:v>502</x:v>
      </x:c>
      <x:c r="B13" s="17" t="s">
        <x:v>524</x:v>
      </x:c>
      <x:c r="C13" s="17" t="s">
        <x:v>525</x:v>
      </x:c>
      <x:c r="D13" s="17" t="s">
        <x:v>526</x:v>
      </x:c>
      <x:c r="E13" s="17" t="s">
        <x:v>527</x:v>
      </x:c>
      <x:c r="F13" s="18"/>
    </x:row>
    <x:row r="14">
      <x:c r="A14" s="16" t="s">
        <x:v>502</x:v>
      </x:c>
      <x:c r="B14" s="17" t="s">
        <x:v>528</x:v>
      </x:c>
      <x:c r="C14" s="17" t="s">
        <x:v>529</x:v>
      </x:c>
      <x:c r="D14" s="17" t="s">
        <x:v>530</x:v>
      </x:c>
      <x:c r="E14" s="17" t="str">
        <x:v>D21/D23；BOM品牌为R+O</x:v>
      </x:c>
      <x:c r="F14" s="18"/>
    </x:row>
    <x:row r="15" ht="27.200000762939453">
      <x:c r="A15" s="19" t="s">
        <x:v>502</x:v>
      </x:c>
      <x:c r="B15" s="20" t="s">
        <x:v>531</x:v>
      </x:c>
      <x:c r="C15" s="20" t="s">
        <x:v>532</x:v>
      </x:c>
      <x:c r="D15" s="20" t="s">
        <x:v>533</x:v>
      </x:c>
      <x:c r="E15" s="20" t="s">
        <x:v>534</x:v>
      </x:c>
      <x:c r="F15" s="21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a5927e91ac8348a1"/>
  </x:tableParts>
</x:worksheet>
</file>