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firstSheet="3" activeTab="5"/>
  </bookViews>
  <sheets>
    <sheet name="总览 Overview" sheetId="1" r:id="rId1"/>
    <sheet name="规格书 Datasheet" sheetId="2" r:id="rId2"/>
    <sheet name="驱动系统原理图 TS Schematics" sheetId="3" r:id="rId3"/>
    <sheet name="电池箱 Accumulator" sheetId="4" r:id="rId4"/>
    <sheet name="预充电放电 PrechargeDischarge" sheetId="5" r:id="rId5"/>
    <sheet name="充电 Charging" sheetId="6" r:id="rId6"/>
    <sheet name="安全系统 Shutdown circuit" sheetId="7" r:id="rId7"/>
    <sheet name="扭矩指令 Torque Security" sheetId="8" r:id="rId8"/>
    <sheet name="其他 Others" sheetId="9" r:id="rId9"/>
    <sheet name="接地 Grounding" sheetId="10" r:id="rId10"/>
    <sheet name="修订历史 Revision" sheetId="11" r:id="rId11"/>
  </sheets>
  <definedNames>
    <definedName name="BattCellCapacity">'规格书 Datasheet'!$C$5</definedName>
    <definedName name="BattCellMaxV">'规格书 Datasheet'!$C$6</definedName>
    <definedName name="BattCellNomV">'规格书 Datasheet'!$C$7</definedName>
    <definedName name="BusCap">'预充电放电 PrechargeDischarge'!$D$10</definedName>
    <definedName name="CellsPerTempSensor">'电池箱 Accumulator'!$O$25</definedName>
    <definedName name="ConnectorNames">'规格书 Datasheet'!$B$74:$B$92</definedName>
    <definedName name="ConnectorsTable">'规格书 Datasheet'!$A$74:$H$92</definedName>
    <definedName name="ConnectorTable">'规格书 Datasheet'!$B$74:$H$92</definedName>
    <definedName name="ContactorNames">'规格书 Datasheet'!$B$66:$B$70</definedName>
    <definedName name="ContactorsTable">'规格书 Datasheet'!$B$66:$H$70</definedName>
    <definedName name="DischargeRes">'预充电放电 PrechargeDischarge'!$J$6</definedName>
    <definedName name="ErrorText">"WARNING"</definedName>
    <definedName name="FuseName">'规格书 Datasheet'!$B$42:$B$53</definedName>
    <definedName name="FuseNames">#REF!</definedName>
    <definedName name="FuseNoiCur">'电池箱 Accumulator'!$U$20</definedName>
    <definedName name="FusesTable">#REF!</definedName>
    <definedName name="FuseTable">'规格书 Datasheet'!$B$42:$H$53</definedName>
    <definedName name="IncompleteText">"BLANK"</definedName>
    <definedName name="InsulationNames">'规格书 Datasheet'!$B$96:$B$105</definedName>
    <definedName name="InsulationsTable">'规格书 Datasheet'!$B$96:$I$105</definedName>
    <definedName name="MaxTSVoltage">'电池箱 Accumulator'!$E$4</definedName>
    <definedName name="NominalTSVoltage">#REF!</definedName>
    <definedName name="OKText">"OK"</definedName>
    <definedName name="PrechargeRes">'预充电放电 PrechargeDischarge'!$D$6</definedName>
    <definedName name="ResistorsNames">'规格书 Datasheet'!$B$57:$B$62</definedName>
    <definedName name="ResistorsTable">'规格书 Datasheet'!$B$57:$H$62</definedName>
    <definedName name="TotalCells">'电池箱 Accumulator'!$E$6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<sst xmlns="http://schemas.openxmlformats.org/spreadsheetml/2006/main" count="768" uniqueCount="528">
  <si>
    <t>文档填写要求 Document Filling Requirements</t>
  </si>
  <si>
    <t>结果汇总 Status</t>
  </si>
  <si>
    <t>最终结果 Overall Results</t>
  </si>
  <si>
    <r>
      <rPr>
        <sz val="11"/>
        <rFont val="等线"/>
        <charset val="134"/>
        <scheme val="minor"/>
      </rPr>
      <t xml:space="preserve">- 所有橙色背景的单元格均需要填写
- 蓝色背景的单元格是自动生成的检查结果
- 图片必须放置在指定区域上并且高清且横纵比正常。图片需要能够被放大以进行进一步审核
- 所有要求规格书的都应该在规定位置提供下载超链接,优先放置供应商公开网址的信息,允许车队提供的网盘,但是分享链接应当是无密码且长期有效的。链接不必完整显示在文档中
- 禁止链接到淘宝产品介绍页面
- 额外补充信息仅在审核员特殊要求时填写
- </t>
    </r>
    <r>
      <rPr>
        <b/>
        <sz val="11"/>
        <rFont val="等线"/>
        <charset val="134"/>
        <scheme val="minor"/>
      </rPr>
      <t>完成后删除所有的此单元格以外的样例(橙色图片)/说明性文字（斜体）</t>
    </r>
    <r>
      <rPr>
        <sz val="11"/>
        <rFont val="等线"/>
        <charset val="134"/>
        <scheme val="minor"/>
      </rPr>
      <t xml:space="preserve">
- 由于反馈更改的内容必须要标为</t>
    </r>
    <r>
      <rPr>
        <sz val="11"/>
        <color rgb="FFFF0000"/>
        <rFont val="等线"/>
        <charset val="134"/>
        <scheme val="minor"/>
      </rPr>
      <t>红色</t>
    </r>
    <r>
      <rPr>
        <sz val="11"/>
        <rFont val="等线"/>
        <charset val="134"/>
        <scheme val="minor"/>
      </rPr>
      <t>。未标红视为未更改。请仅标红当前最新更改部分
- 无论当前是否已经对ESF予以通过，任何未经许可的对自动检查表格模板的修改/破解将导致该车队本年度的电检资格取消。
- 自动检查通过并不代表ESF必然获得通过
————
- All cells with an orange background need to be filled out
- Cells with a blue background are automatically generated inspection results
- Images must be clear and recognizable
- All required specifications should provide download hyperlinks in the designated location. Preference should be given to publicly accessible URLs from suppliers. Cloud drives provided by the team are allowed, but the shared links should be password-free and long-term valid. The links do not need to be fully displayed in the document.
- Linking to online vendor product introduction pages is prohibited。 
- Additional comments should only be filled in upon special request from the auditor.
-</t>
    </r>
    <r>
      <rPr>
        <b/>
        <sz val="11"/>
        <rFont val="等线"/>
        <charset val="134"/>
        <scheme val="minor"/>
      </rPr>
      <t xml:space="preserve"> After completion, delete all examples (orange images)/explanatory text (italic) except for this cell.
-</t>
    </r>
    <r>
      <rPr>
        <sz val="11"/>
        <rFont val="等线"/>
        <charset val="134"/>
        <scheme val="minor"/>
      </rPr>
      <t xml:space="preserve"> Changes made due to feedback must be marked in </t>
    </r>
    <r>
      <rPr>
        <sz val="11"/>
        <color rgb="FFFF0000"/>
        <rFont val="等线"/>
        <charset val="134"/>
        <scheme val="minor"/>
      </rPr>
      <t>red</t>
    </r>
    <r>
      <rPr>
        <sz val="11"/>
        <rFont val="等线"/>
        <charset val="134"/>
        <scheme val="minor"/>
      </rPr>
      <t>. Changes not marked in red will be considered unmodified. Please only mark the most recent changes in red.
- Regardless of whether the ESF has currently been approved, any unauthorized modifications/hacks to the automated checklist template will result in the team's disqualification from the electrical inspection for the current year.
- Passing the automated check does not guarantee that the ESF will be approved.</t>
    </r>
  </si>
  <si>
    <t>规格书 Datasheets</t>
  </si>
  <si>
    <t>驱动系统原理图 TS Schematics</t>
  </si>
  <si>
    <t>电池箱 Accumulator</t>
  </si>
  <si>
    <t>预充电/放电回路 Precharge/Discharge</t>
  </si>
  <si>
    <t>充电系统 Charging</t>
  </si>
  <si>
    <t>安全系统 Shutdown circuits</t>
  </si>
  <si>
    <t>扭矩输出 Torque security</t>
  </si>
  <si>
    <t>其他 Other</t>
  </si>
  <si>
    <t>接地 Grounding</t>
  </si>
  <si>
    <t>车队信息 Team info</t>
  </si>
  <si>
    <t>学校 University</t>
  </si>
  <si>
    <t>车队名称 Team</t>
  </si>
  <si>
    <t>车号 Car Number</t>
  </si>
  <si>
    <t>驱动系统最大电压 Max TS voltage</t>
  </si>
  <si>
    <t>V</t>
  </si>
  <si>
    <t>主保险丝额定电流 Accumulator</t>
  </si>
  <si>
    <t>A</t>
  </si>
  <si>
    <t>Additional Comment - 1</t>
  </si>
  <si>
    <t>Additional Comment - 2</t>
  </si>
  <si>
    <t>状态 Status</t>
  </si>
  <si>
    <t>电芯单体 Battery Cell</t>
  </si>
  <si>
    <t>制造商 Make</t>
  </si>
  <si>
    <t>型号 Model</t>
  </si>
  <si>
    <t>额定容量 Nominal Capacity</t>
  </si>
  <si>
    <t>Ahr</t>
  </si>
  <si>
    <t>最大电压 Maximum Voltage</t>
  </si>
  <si>
    <t>额定电压 Nominal Voltage</t>
  </si>
  <si>
    <t>最小电压 Minimum Voltage</t>
  </si>
  <si>
    <t>最大瞬时输出电流 Max output current</t>
  </si>
  <si>
    <t>最大连续输出电流 Max continous current</t>
  </si>
  <si>
    <t>最大工作温度 Max Cell temp</t>
  </si>
  <si>
    <t>C</t>
  </si>
  <si>
    <t>电芯化学类型 Cell Chemistry</t>
  </si>
  <si>
    <t>说明书超链接 Link to Datasheet</t>
  </si>
  <si>
    <t>导体信息 Conductors</t>
  </si>
  <si>
    <t>规则参考/注释 Rules Reference/Comment</t>
  </si>
  <si>
    <t>Location List</t>
  </si>
  <si>
    <t>制造商 Manufacturer</t>
  </si>
  <si>
    <t>型号 Part number</t>
  </si>
  <si>
    <r>
      <rPr>
        <sz val="11"/>
        <color theme="1"/>
        <rFont val="等线"/>
        <charset val="134"/>
        <scheme val="minor"/>
      </rPr>
      <t>载流截面积 Size [mm</t>
    </r>
    <r>
      <rPr>
        <sz val="11"/>
        <color theme="1"/>
        <rFont val="等线"/>
        <charset val="134"/>
        <scheme val="minor"/>
      </rPr>
      <t>2]</t>
    </r>
  </si>
  <si>
    <t>额定电压 Nominal Voltage [Vdc]</t>
  </si>
  <si>
    <t>额定电流 Nominal Current [A]</t>
  </si>
  <si>
    <t>最大工作温度 Max Temp[C]</t>
  </si>
  <si>
    <t>说明书链接 Datasheet Hyperlink</t>
  </si>
  <si>
    <t xml:space="preserve">位置 Location </t>
  </si>
  <si>
    <t>判定 Auto-check</t>
  </si>
  <si>
    <t>注释 Additional Info</t>
  </si>
  <si>
    <r>
      <rPr>
        <sz val="11"/>
        <color theme="1"/>
        <rFont val="等线"/>
        <charset val="134"/>
        <scheme val="minor"/>
      </rPr>
      <t xml:space="preserve">-如果在不同位置使用了相同的导体，请增加一行重复的输入项目。
-如果相同段落使用了多种导体，每一种导体信息都应该被填入
- 本表格更多指向铜牌，导线等
-如果使用位置是'其他驱动系统’，请在注释列填写说明
-检查项目包括但不限于：
-第五章 
-- 5.1.2 
-- 5.1.3
-- 5.5.3
-- 5.5.5
</t>
    </r>
    <r>
      <rPr>
        <sz val="11"/>
        <color rgb="FFFF0000"/>
        <rFont val="等线"/>
        <charset val="134"/>
        <scheme val="minor"/>
      </rPr>
      <t>本页表格允许添加行</t>
    </r>
    <r>
      <rPr>
        <sz val="11"/>
        <color theme="1"/>
        <rFont val="等线"/>
        <charset val="134"/>
        <scheme val="minor"/>
      </rPr>
      <t xml:space="preserve">
————
- If the same conductor is used in different locations, please add an additional row with the repeated input item. 
-  If multiple types of conductors are used in the same section, information for each conductor should be filled in.
-  If the usage location is 'Other TS,' please provide an explanation in the Additional Info column.
- </t>
    </r>
    <r>
      <rPr>
        <sz val="11"/>
        <color rgb="FFFF0000"/>
        <rFont val="等线"/>
        <charset val="134"/>
        <scheme val="minor"/>
      </rPr>
      <t>Rows can be added to the table on this page.</t>
    </r>
  </si>
  <si>
    <t>`</t>
  </si>
  <si>
    <t>电芯之间 Between cells</t>
  </si>
  <si>
    <t>电芯到AIR Between cells and AIR</t>
  </si>
  <si>
    <t>AIR到电池箱连接器 Between AIR and Acc Connector</t>
  </si>
  <si>
    <t>电池箱到电机控制器 Between Acc and Motor Controller</t>
  </si>
  <si>
    <t>电池箱到能量计Between Acc and Energy Meter</t>
  </si>
  <si>
    <t>能量计到电机控制器 Between Energy Meter and Motor Controller</t>
  </si>
  <si>
    <t>TSMP采样线 TSMP detection wires</t>
  </si>
  <si>
    <t>TSAL采样线  TSAL detection wire</t>
  </si>
  <si>
    <t>电芯单体采样线 Cell Volt Detection</t>
  </si>
  <si>
    <t>电机控制器到电机 Between Motor Controller and Motors</t>
  </si>
  <si>
    <t>电池箱到HVD Between ACC and HVD</t>
  </si>
  <si>
    <t>HVD到电机控制器, Between Motor Controller and HVD</t>
  </si>
  <si>
    <t>预充电回路 Precharge</t>
  </si>
  <si>
    <t>放电回路 Discharge</t>
  </si>
  <si>
    <t>充电机DC侧 Charging DC side</t>
  </si>
  <si>
    <t>充电机AC侧 Charging AC side</t>
  </si>
  <si>
    <t>其他驱动系统 Other TS</t>
  </si>
  <si>
    <t>安全回路 Shutdown circuit</t>
  </si>
  <si>
    <t>其他低压系统 Other LVS</t>
  </si>
  <si>
    <t>过流保护器件 Fuses</t>
  </si>
  <si>
    <t>额定电压Nominal Voltage [Vdc]</t>
  </si>
  <si>
    <t>额定分断电流 Interrupt (A)</t>
  </si>
  <si>
    <t>- 如果使用位置是'其他驱动系统’，请在注释列填写说明，且关于位置的表述必须和之前的导体段落文本完全一致
- 检查的项目包括但不限于
- 第五章 3.2
————
If the usage location is 'Other TS,' please provide an explanation in the Additional Info column. It must the same as the expression in the 'Conductor' part</t>
  </si>
  <si>
    <t>电阻器 Resistor</t>
  </si>
  <si>
    <r>
      <rPr>
        <sz val="11"/>
        <color theme="1"/>
        <rFont val="等线"/>
        <charset val="134"/>
        <scheme val="minor"/>
      </rPr>
      <t>电阻值 Resistance (</t>
    </r>
    <r>
      <rPr>
        <sz val="11"/>
        <color theme="1"/>
        <rFont val="等线"/>
        <charset val="134"/>
        <scheme val="minor"/>
      </rPr>
      <t>Ω</t>
    </r>
    <r>
      <rPr>
        <sz val="11"/>
        <color theme="1"/>
        <rFont val="等线"/>
        <charset val="134"/>
        <scheme val="minor"/>
      </rPr>
      <t>)</t>
    </r>
  </si>
  <si>
    <t>额定功率 Nominal Power (W)</t>
  </si>
  <si>
    <t xml:space="preserve">散热器参数 Heatsink  (°C/W) </t>
  </si>
  <si>
    <t>位置 Location</t>
  </si>
  <si>
    <t>- 电阻未使用散热片可填写’未使用‘，注意此处并不是要求填写所有使用的电阻，仅关注和驱动系统安全性相关的问题
————
If resistors are not using heat sinks, you can write 'Not used.' Note that this is not a requirement to list all resistors used, but only to focus on issues related to the safety of the TS system.</t>
  </si>
  <si>
    <t>继电器/接触器/MOSFET Relay/Contactor/MOSFET</t>
  </si>
  <si>
    <t>额定电流  Nominal Current [A]</t>
  </si>
  <si>
    <t>常开/常闭 NO/NC</t>
  </si>
  <si>
    <t xml:space="preserve">-注意此处并不是要求填写所有使用的,而是驱动系统关键的继电器
- Note that this is not a requirement to list all used relays, but only the key relays of the TS.
</t>
  </si>
  <si>
    <t>连接器/接插件 Connector</t>
  </si>
  <si>
    <r>
      <rPr>
        <sz val="11"/>
        <color theme="1"/>
        <rFont val="等线"/>
        <charset val="134"/>
        <scheme val="minor"/>
      </rPr>
      <t>导电面积 Size [mm</t>
    </r>
    <r>
      <rPr>
        <sz val="11"/>
        <color theme="1"/>
        <rFont val="等线"/>
        <charset val="134"/>
        <scheme val="minor"/>
      </rPr>
      <t>2]</t>
    </r>
  </si>
  <si>
    <t>- 注意HVD应当包括在此处
- HVD should be included here</t>
  </si>
  <si>
    <t>绝缘材料 Insulation</t>
  </si>
  <si>
    <t>厚度 Thickness [mm]</t>
  </si>
  <si>
    <t>介电强度 Dielectric strength [V/mm]</t>
  </si>
  <si>
    <t>绝缘电压等级 Insultation level [V]</t>
  </si>
  <si>
    <t>防火等级 Fireproof level</t>
  </si>
  <si>
    <t>注释 Comments</t>
  </si>
  <si>
    <t xml:space="preserve">电池以外驱动系统原理图 Vehicle Tractive Schematics </t>
  </si>
  <si>
    <r>
      <rPr>
        <sz val="11"/>
        <color rgb="FF3F3F76"/>
        <rFont val="等线"/>
        <charset val="134"/>
        <scheme val="minor"/>
      </rPr>
      <t xml:space="preserve">电池箱内部原理图
</t>
    </r>
    <r>
      <rPr>
        <i/>
        <sz val="11"/>
        <color rgb="FF3F3F76"/>
        <rFont val="等线"/>
        <charset val="134"/>
        <scheme val="minor"/>
      </rPr>
      <t>请参考左图尺寸插入图片</t>
    </r>
    <r>
      <rPr>
        <sz val="11"/>
        <color rgb="FF3F3F76"/>
        <rFont val="等线"/>
        <charset val="134"/>
        <scheme val="minor"/>
      </rPr>
      <t xml:space="preserve">
Internal schematic diagram of the accumulator box
Please refer to the dimensions of the left diagram to insert the image.</t>
    </r>
  </si>
  <si>
    <t>补充内容 Additional comments</t>
  </si>
  <si>
    <t>Fill upon request 需要时填写</t>
  </si>
  <si>
    <t>电池箱内部原理图 Accumulator TS Schematic</t>
  </si>
  <si>
    <t xml:space="preserve">规则参考,Rule ref CN only, </t>
  </si>
  <si>
    <t>展示电池箱以外驱动系统所有细节 Show details of all TS outside of accumulator</t>
  </si>
  <si>
    <t>电池箱内部驱动系统细节 Details of all TS circuits within accumulator</t>
  </si>
  <si>
    <t>电池箱被作为一个整体呈现(AIR除外) Accumulator is shown as a single element (without internal details)</t>
  </si>
  <si>
    <t>所有的线径都有标注 All wire gauges labeled</t>
  </si>
  <si>
    <t>第五章 5.5.5</t>
  </si>
  <si>
    <t>所有的线径都有标注 All wire guages labeled</t>
  </si>
  <si>
    <t>所有的保险丝都有标注额定电流 All fuses are labeled with their ampacity</t>
  </si>
  <si>
    <t>所有的保险丝都有标注额定电流 All fuses labedled with ampacity</t>
  </si>
  <si>
    <r>
      <rPr>
        <sz val="11"/>
        <color theme="1"/>
        <rFont val="等线"/>
        <charset val="134"/>
        <scheme val="minor"/>
      </rPr>
      <t>保险丝距离电源侧线缆的距离(未保护线缆长度</t>
    </r>
    <r>
      <rPr>
        <sz val="11"/>
        <color theme="1"/>
        <rFont val="等线"/>
        <charset val="134"/>
        <scheme val="minor"/>
      </rPr>
      <t>）</t>
    </r>
    <r>
      <rPr>
        <sz val="11"/>
        <color theme="1"/>
        <rFont val="等线"/>
        <charset val="134"/>
        <scheme val="minor"/>
      </rPr>
      <t>Distance from fuses to positive power souces</t>
    </r>
  </si>
  <si>
    <t>保险丝位置应当对应其真实物理位置（壳体）Fuse locations represent physical location</t>
  </si>
  <si>
    <t>保险丝位置应当对应其真实物理位置 Fuse locations represent physical location</t>
  </si>
  <si>
    <t>第五章 5.2</t>
  </si>
  <si>
    <t>驱动系统壳体 TS enclosures</t>
  </si>
  <si>
    <t>接插件标注有制造商/型号 Connectors labeled with Make/Model</t>
  </si>
  <si>
    <t>使用通用的原理图符号 Standard schematic symbols used</t>
  </si>
  <si>
    <t>文字放大后清晰 All text iis readable, zooming allowed</t>
  </si>
  <si>
    <t>第五章 6.6</t>
  </si>
  <si>
    <t>AIRs</t>
  </si>
  <si>
    <t>第五章 5.7</t>
  </si>
  <si>
    <t>TSMPs</t>
  </si>
  <si>
    <t>第五章 6.4.4</t>
  </si>
  <si>
    <t>维护插头 Maintenance plugs</t>
  </si>
  <si>
    <t>电机控制器 Motor controllers</t>
  </si>
  <si>
    <t>电芯（电芯互联的部分可以简略）Cells (intercell connections may be abstracted)</t>
  </si>
  <si>
    <t>电机 Motors</t>
  </si>
  <si>
    <t>第五章6.4.8</t>
  </si>
  <si>
    <t>电池箱高压指示器 High voltage indicator</t>
  </si>
  <si>
    <t>第五章 5..7.6</t>
  </si>
  <si>
    <t>TSMP没有熔断 TSMP not fused</t>
  </si>
  <si>
    <t>第五章 6.7</t>
  </si>
  <si>
    <t>预充电回路 Precharge circuit</t>
  </si>
  <si>
    <t>第五章 5.6</t>
  </si>
  <si>
    <t>数据记录仪 Energy Meter/Data Logger</t>
  </si>
  <si>
    <t>预充电回路过流保护 precharge circuit overcurrent protections</t>
  </si>
  <si>
    <t>第五章 5.9</t>
  </si>
  <si>
    <t>放电回路 Discharge circuit</t>
  </si>
  <si>
    <t>第五章 5.9.3</t>
  </si>
  <si>
    <t>放电回路未熔断 Discharge not fused</t>
  </si>
  <si>
    <t>第五章 5.8</t>
  </si>
  <si>
    <t>HVD</t>
  </si>
  <si>
    <t>至少在其中一副原理图中展示 Must shown on at least one schematic</t>
  </si>
  <si>
    <t>规则参考,Rule ref CN only,</t>
  </si>
  <si>
    <t>第五章 7.4</t>
  </si>
  <si>
    <t>IMD</t>
  </si>
  <si>
    <t>模组连接关系 Segment-to-Segment Connection</t>
  </si>
  <si>
    <t>驱动系统额定电压 Nominal TS voltage</t>
  </si>
  <si>
    <t>电池单体数量 Total cells</t>
  </si>
  <si>
    <t>模组数据 Segement data</t>
  </si>
  <si>
    <t>BMS</t>
  </si>
  <si>
    <t>维护插头 Maintenance Plugs</t>
  </si>
  <si>
    <t>绝缘材料 Insulating Materials</t>
  </si>
  <si>
    <t>补充说明 Additional Comments</t>
  </si>
  <si>
    <t>电芯串并关系 Cell connection order</t>
  </si>
  <si>
    <t>BMS拓扑 BMS Type</t>
  </si>
  <si>
    <t>接插件/连接器 Connector</t>
  </si>
  <si>
    <t>电芯及电池箱内壁之间绝缘材料 Between cells and accumulator</t>
  </si>
  <si>
    <t>模组编号 Segement</t>
  </si>
  <si>
    <t>并联数 Parallel cells</t>
  </si>
  <si>
    <t>串联数 Serial cells</t>
  </si>
  <si>
    <t>温度测点数量 Temp sensors</t>
  </si>
  <si>
    <t>电池箱编号 Accumulator number</t>
  </si>
  <si>
    <t>模组最大电压 Max Voltage[V]</t>
  </si>
  <si>
    <t>模组能量 Segement energy [MJ]</t>
  </si>
  <si>
    <t>BMS来源 BMS source</t>
  </si>
  <si>
    <t>额定电流 Ampacity</t>
  </si>
  <si>
    <t>电压等级 Voltage Rating</t>
  </si>
  <si>
    <t>型号 Type</t>
  </si>
  <si>
    <t>对应保险丝 Fuse provides protections</t>
  </si>
  <si>
    <t>温度等级 Temperature Rating</t>
  </si>
  <si>
    <t>驱动系统到低压控制系统绝缘电压 Galvanic Isolation TS to LVS</t>
  </si>
  <si>
    <t>保险丝额定电流 Fuse ampacity</t>
  </si>
  <si>
    <t>电芯上方覆盖 On top of cells</t>
  </si>
  <si>
    <t>模组间绝缘电压 Galvanic Isolation between segments</t>
  </si>
  <si>
    <t>AIR</t>
  </si>
  <si>
    <t>隔离器件  Galvanic Isolation devices</t>
  </si>
  <si>
    <t>型号 Make/Model</t>
  </si>
  <si>
    <t>隔离器件说明书  Galvanic Isolation devices datasheets</t>
  </si>
  <si>
    <t>触点额定电压 Contactnoimal volatge</t>
  </si>
  <si>
    <t>Vdc</t>
  </si>
  <si>
    <t>AIR,主保险丝与电芯之间 Between AIRs and Cells</t>
  </si>
  <si>
    <t>电芯电压测量 Voltage Sense Leads</t>
  </si>
  <si>
    <t>最大分断电流 Max switching current</t>
  </si>
  <si>
    <t>最长采样线线缆长度 Max lead length</t>
  </si>
  <si>
    <t>cm</t>
  </si>
  <si>
    <t>额定电流 Max continuous current</t>
  </si>
  <si>
    <t>采样线过流保护器件型号 Sense lead overprotection device</t>
  </si>
  <si>
    <t>主保险丝 Main Fuse</t>
  </si>
  <si>
    <t>防火等级 Flammability Rating</t>
  </si>
  <si>
    <t>过流保护器件位置 Overcurrent protection device location</t>
  </si>
  <si>
    <t>其他位置说明</t>
  </si>
  <si>
    <t>额定电流 Max fuse ampacity</t>
  </si>
  <si>
    <t>过流保护电压等级 Overcurrent voltage rating</t>
  </si>
  <si>
    <t>额定电压 Main fuse voltage</t>
  </si>
  <si>
    <t>温度传感器</t>
  </si>
  <si>
    <t>温度传感器位置 Temp sensor location</t>
  </si>
  <si>
    <t xml:space="preserve">距离极耳距离 Distance to terminal </t>
  </si>
  <si>
    <t>mm</t>
  </si>
  <si>
    <t>单个测点测量的电芯数量 Cells sensed per sensor</t>
  </si>
  <si>
    <t>cells</t>
  </si>
  <si>
    <t>导热材料型号(如果有) Thermal contact material (if used)</t>
  </si>
  <si>
    <t>导热材料说明书链接 Thermal contact material datasheet</t>
  </si>
  <si>
    <t>导热材料热导率 Thermal contact material conductivity</t>
  </si>
  <si>
    <r>
      <rPr>
        <sz val="11"/>
        <color theme="1"/>
        <rFont val="等线"/>
        <charset val="134"/>
        <scheme val="minor"/>
      </rPr>
      <t>W/(m</t>
    </r>
    <r>
      <rPr>
        <sz val="11"/>
        <color theme="1"/>
        <rFont val="等线"/>
        <charset val="134"/>
        <scheme val="minor"/>
      </rPr>
      <t>∙K)</t>
    </r>
  </si>
  <si>
    <t>导热材料厚度 Thermal contact material thickness</t>
  </si>
  <si>
    <t>温度测量覆盖率 Precentage of cells sensed</t>
  </si>
  <si>
    <t>%</t>
  </si>
  <si>
    <t>维护插头示意图/照片 Pictures of Maintenance Plugs</t>
  </si>
  <si>
    <t>极耳连接以及电芯固定示意图/照片 Picture of Cell Connections</t>
  </si>
  <si>
    <t>温度传感器布置图 Picture of Temperature Sensor Location</t>
  </si>
  <si>
    <t>主保险丝和AIR和电芯分隔 Picture of Fuse and AIR Separation from cells</t>
  </si>
  <si>
    <t>电芯与电池箱内壁的绝缘 Picture of Segment Insulation between Cell Terminal and Sides of Accumulator Container</t>
  </si>
  <si>
    <t>模组上方绝缘 Picture of Insulation on Top of Segment</t>
  </si>
  <si>
    <t xml:space="preserve">模组绝缘 Segment Insulation </t>
  </si>
  <si>
    <t>模组上方绝缘 Insulation on Top of Segment</t>
  </si>
  <si>
    <t>防止误插 Unique configurations of plugs</t>
  </si>
  <si>
    <t>如果极耳采用紧固件压接，紧固件防松 Positive locking if bolted connections</t>
  </si>
  <si>
    <t>温度传感器直接接触极耳或者总线 Sensor in direct contact with terminal or busbar</t>
  </si>
  <si>
    <t>主保险丝和AIR和电芯分隔 Fuse and AIR Separation from cells</t>
  </si>
  <si>
    <t>电芯和电池箱内部绝缘 Insulation between cells and accumulator</t>
  </si>
  <si>
    <t>模组上方绝缘  Insulation on Top of Segment</t>
  </si>
  <si>
    <t>非载流面绝缘 Non-conductive on un-necessary surface</t>
  </si>
  <si>
    <t>极耳不受机械负载 No mechanic load on cell tabs</t>
  </si>
  <si>
    <t>未直接接触但足够近 Distance from sensor to cell negative terminal sufficienly close</t>
  </si>
  <si>
    <t>规则参考 Rules Ref</t>
  </si>
  <si>
    <t>安装不需要拆除电池箱部件  Accessible without additional desassembly</t>
  </si>
  <si>
    <t>电芯在各个方向有限位，且受力面没有过小 Positions limits on all directions, sufficient surface with load</t>
  </si>
  <si>
    <t>第五章 6.5.12</t>
  </si>
  <si>
    <t xml:space="preserve">第五章 6.4.1 6.5.8 </t>
  </si>
  <si>
    <t>第五章 6.4.6</t>
  </si>
  <si>
    <t>主动锁紧/防松 Postive locking</t>
  </si>
  <si>
    <t>电芯受力面应当占该表面的80% Surface with load: &gt;= 80%</t>
  </si>
  <si>
    <t>Recommended</t>
  </si>
  <si>
    <t>第五章 6.8.4</t>
  </si>
  <si>
    <t>第五章 6.4.4 6.4.5</t>
  </si>
  <si>
    <t>第五章 6.5.10</t>
  </si>
  <si>
    <t>电池箱高压指示器原理图 Accumulator HV indicator</t>
  </si>
  <si>
    <t>高压指示器来源 Indicator source</t>
  </si>
  <si>
    <t>电压传感器绝缘电压  Galvanic Isolation (Vdc)</t>
  </si>
  <si>
    <t>电压传感器说明书超链接 Volatge sense device datasheet</t>
  </si>
  <si>
    <t>原理图清晰可读 Schematic clear and readable</t>
  </si>
  <si>
    <t>标注所有的驱动系统元器件（包括接插件）的型号和额定电压 All TS components Noimal Voltages</t>
  </si>
  <si>
    <t>隔离器件的说明书超链接 Datasheet of TS/LVS isolation datasee</t>
  </si>
  <si>
    <t>标注驱动系统电阻的额定功率(如果有) Noimal power of TS resistor (if exists)</t>
  </si>
  <si>
    <t>驱动系统电路保险丝型号 TS fuses</t>
  </si>
  <si>
    <t>如果阈值是固定的，给出计算过程（下方补充说明）If the threshold is fixed, give caculation below</t>
  </si>
  <si>
    <t>补充说明 Additional comments</t>
  </si>
  <si>
    <t>TSMP</t>
  </si>
  <si>
    <t>规则参考 Rules ref</t>
  </si>
  <si>
    <t>电阻型号 Resistor Type</t>
  </si>
  <si>
    <t>第五章 6.7
第五章 5.9
第五章 5.7</t>
  </si>
  <si>
    <t>并联数 # parallel</t>
  </si>
  <si>
    <t>串联数 # serial</t>
  </si>
  <si>
    <t>总阻值 Resistance</t>
  </si>
  <si>
    <t>Ohms</t>
  </si>
  <si>
    <t>额定功率 Cont power</t>
  </si>
  <si>
    <t>W</t>
  </si>
  <si>
    <t>瞬时持续功率(5s) Power @ 5s</t>
  </si>
  <si>
    <t>额定电压 Rated Voltage</t>
  </si>
  <si>
    <t>放电峰值功率 Peak Power</t>
  </si>
  <si>
    <t>短路功率 Power if short circuit</t>
  </si>
  <si>
    <t>总线电容 Bus Capacitance</t>
  </si>
  <si>
    <t>mF</t>
  </si>
  <si>
    <t>放电峰值电流 Peak Current</t>
  </si>
  <si>
    <t>充电截止条件 End of precharge</t>
  </si>
  <si>
    <t>放电时间 Discharge time</t>
  </si>
  <si>
    <t>s</t>
  </si>
  <si>
    <t>峰值功率 Peak Power</t>
  </si>
  <si>
    <t>放电继电器 Relay</t>
  </si>
  <si>
    <t>峰值电流 Peak Current</t>
  </si>
  <si>
    <t>继电器触点额定电压  Contacts rated volatge</t>
  </si>
  <si>
    <t>充电到95% Time to 95%</t>
  </si>
  <si>
    <t>sec</t>
  </si>
  <si>
    <t>继电器触点额定电流 Contact rated current</t>
  </si>
  <si>
    <t>预充电能量95% Energy on res to 95%</t>
  </si>
  <si>
    <t>J</t>
  </si>
  <si>
    <t>继电器断电状态 Normal State</t>
  </si>
  <si>
    <t>平均功率 average power</t>
  </si>
  <si>
    <t>预充电继电器 Relay</t>
  </si>
  <si>
    <t>继电器触点额定电压 Contacts rated volatge</t>
  </si>
  <si>
    <t>充电机 Charger</t>
  </si>
  <si>
    <t>补充说明 Additioanl Comments</t>
  </si>
  <si>
    <t>说明书超链接 Datasheet link</t>
  </si>
  <si>
    <t>输入电压(市电或工业电) Input Voltage</t>
  </si>
  <si>
    <t>Vac</t>
  </si>
  <si>
    <t>输入电流 Input Current</t>
  </si>
  <si>
    <t>输出电压(定值或范围) Output Voltage</t>
  </si>
  <si>
    <t>输出电流 Output Current</t>
  </si>
  <si>
    <t>充电机额定功率 Rated Power</t>
  </si>
  <si>
    <t>kW</t>
  </si>
  <si>
    <t>充电安全回路 Charging Shutdown Circuit</t>
  </si>
  <si>
    <t>电池箱小推车 Accumulator Handcart</t>
  </si>
  <si>
    <t>充电驱动系统回路 Charging Tractive System Schematic</t>
  </si>
  <si>
    <t>主保险丝（直流） Main Fuse on DC bus</t>
  </si>
  <si>
    <t>IMD控制的继电器 IMD Controlled powerstage</t>
  </si>
  <si>
    <t>第五章 9.4.6</t>
  </si>
  <si>
    <t>垂直防火墙及高度要求满足 Firewall Height and coverage</t>
  </si>
  <si>
    <t>接插件及制造商/型号 Connector with Make/Type</t>
  </si>
  <si>
    <t>AMS控制的继电器 AMS Controlled powerstage</t>
  </si>
  <si>
    <t>第五章 9.4.8</t>
  </si>
  <si>
    <t>防冲击措施 Anti-shock</t>
  </si>
  <si>
    <t>标注线径 Wire Gauge</t>
  </si>
  <si>
    <t>充电急停开关 Shutdown buttons</t>
  </si>
  <si>
    <t>AIRs线圈 AIRs coils</t>
  </si>
  <si>
    <t>充电接插件互锁 Interlock of charging connector</t>
  </si>
  <si>
    <t>充电安全的其他控制继电器(安全回路以外) Other powerstages</t>
  </si>
  <si>
    <t>BSPD</t>
  </si>
  <si>
    <t>第五章 7.5</t>
  </si>
  <si>
    <t>电流传感器型号 Current Sensor Type</t>
  </si>
  <si>
    <t>触发阈值 Threshold</t>
  </si>
  <si>
    <t>kΩ</t>
  </si>
  <si>
    <t xml:space="preserve">电流传感器说明书链接 Current Sensor datasheet </t>
  </si>
  <si>
    <t>接地线1接地位置 Location of grounding measurement 1</t>
  </si>
  <si>
    <t>设定阈值电流(驱动系统) Trip Current (TS)</t>
  </si>
  <si>
    <t>接地线2接地位置 Location of grounding measurement 2</t>
  </si>
  <si>
    <t>传感器输出@阈值电流 Sensor Output@Trip current</t>
  </si>
  <si>
    <t>驱动系统测点物理位置</t>
  </si>
  <si>
    <t>传感器测量精度@阈值电流 Accuracy@Trip current</t>
  </si>
  <si>
    <t>TSAL</t>
  </si>
  <si>
    <t>TSAL测量点分布</t>
  </si>
  <si>
    <t>TSAL红灯-电压测量原理图
采购传感器无需填写
允许利用右侧补充说明-1附上不便于单幅展示的原理图（比如存在多个电机控制器壳体）
TSAL Red - Schematic on voltage measurement
N/A if use purchased sensor
Fill the cell on the right Additional comment-1 for multi-page schematics (mutiple motor controller enclosure for example)</t>
  </si>
  <si>
    <t>安全回路原理图 Shutdown Circuit Schematic</t>
  </si>
  <si>
    <t>BSPD原理图 BSPD schematic</t>
  </si>
  <si>
    <t>TSAL - 分布 TSAL component distribuition</t>
  </si>
  <si>
    <t>TSAL红灯部分电路 TSAL circuit on Red Lights</t>
  </si>
  <si>
    <t>补充说明-2 additional comment 2</t>
  </si>
  <si>
    <t>规则参考</t>
  </si>
  <si>
    <t>继电器检测电路必须位于电池箱内部,禁止将辅助触点/电压测量线引出
TSAL relay status detecion must be within the Accumulator, aux contacts/aux volatge not wiring out</t>
  </si>
  <si>
    <t>电压检测器件来源 Source of voltage sensors</t>
  </si>
  <si>
    <t>第五章 7.2.2</t>
  </si>
  <si>
    <t>LVMS</t>
  </si>
  <si>
    <t>BSPD电流传感器输入短路/短路保护 BSPD Current Sensor input open/short protection</t>
  </si>
  <si>
    <t>注明各个部分位于的实际壳体及系统 Physical locations of all TS components enclosures</t>
  </si>
  <si>
    <t>电压传感器绝缘电压 Galvanic Isolation level (V)</t>
  </si>
  <si>
    <t>第五章 7.2.3</t>
  </si>
  <si>
    <t>TSMS</t>
  </si>
  <si>
    <t>BSPD制动传感器输入短路/短路保护 BSPD Brake Sensor input open/short protection</t>
  </si>
  <si>
    <t>壳体外信号线注明信号类型(数字,模拟) The type of signal outside enclosures (digital , analog)</t>
  </si>
  <si>
    <t>电压传感器说明书超链接 Sensor datasheet</t>
  </si>
  <si>
    <t>第五章 7.3.3</t>
  </si>
  <si>
    <t>2x侧面急停 2x shutdown buttons on both sides</t>
  </si>
  <si>
    <t xml:space="preserve">自动复位计时部分符合规则要求 Auto-reset timer settings </t>
  </si>
  <si>
    <t>注明锁存逻辑的位置 Position of the latching logic</t>
  </si>
  <si>
    <t>原理图清晰可读 Schematic readable</t>
  </si>
  <si>
    <t>第五章 7.3.4</t>
  </si>
  <si>
    <t>驾驶舱急停 Cockpit shutdown button</t>
  </si>
  <si>
    <t>安全回路继电器 Shutdown circuit powerstage</t>
  </si>
  <si>
    <t>禁止在壳体外出现无过流保护的驱动系统采样线段落（注明保险丝的物理位置）No TS volatge detection wires outside enclosures if not protected by fuses</t>
  </si>
  <si>
    <t>标注所有的驱动系统元器件（包括接插件)的型号和额定电压 Type and rated volatge of all TS components</t>
  </si>
  <si>
    <t>第二章 7.3</t>
  </si>
  <si>
    <t>制动超程开关 Brake Over Travel Switch (BOTS)</t>
  </si>
  <si>
    <t>隔离器件的说明书超链接 Datasheet of galvanic devices</t>
  </si>
  <si>
    <t>第二章 12.5</t>
  </si>
  <si>
    <t>惯性开关 Inertia Switch</t>
  </si>
  <si>
    <t>第五章 5.10.4</t>
  </si>
  <si>
    <t>标注驱动系统电阻的额定功率(如果有) Rated power of TS resistors, if used</t>
  </si>
  <si>
    <t>第五章 7.1.6</t>
  </si>
  <si>
    <t>电池管理系统控制的继电器 AMS controlled powerstage</t>
  </si>
  <si>
    <t>驱动系统电路保险丝型号 Type of TS fuses</t>
  </si>
  <si>
    <t>IMD控制的继电器 IMD controlled powerstage</t>
  </si>
  <si>
    <t>保险丝额定电压 Rated Voltage of the fuse</t>
  </si>
  <si>
    <t>如果阈值是固定的，给出计算过程（右侧补充说明-2）IF volatge threshold is not adjustable, please give the cacualtion on additional comment -2</t>
  </si>
  <si>
    <t>第五章 5.5.10</t>
  </si>
  <si>
    <t>HVD互锁 HVD Interlock</t>
  </si>
  <si>
    <t>电压检测结果之间不存在任何可靠性检查 No plausibility check among volatage detections</t>
  </si>
  <si>
    <t>第五章 7.1.9</t>
  </si>
  <si>
    <t>IMD, AMS, BSPD的继电器是相互独立的 IMD,AMS and BSPD have independent powerstages</t>
  </si>
  <si>
    <t>闪烁频率设定电路 Flashing frequency settings</t>
  </si>
  <si>
    <t>第五章 5.4.3</t>
  </si>
  <si>
    <t>轮边互锁 Outboard wheel motor interlocks (if exists)</t>
  </si>
  <si>
    <t>TSAL - 总体要求 General</t>
  </si>
  <si>
    <t>第二章 12.7</t>
  </si>
  <si>
    <t>低压电池 LVS battery</t>
  </si>
  <si>
    <t>所有的原理图合并后需要满足下述要求 The schematics jointly shows</t>
  </si>
  <si>
    <t>TSAL绿灯-电压检测及继电器状态检测
TSAL Green - Volatge detection and relay status detections</t>
  </si>
  <si>
    <t>TSAL通用-锁存逻辑
TSAL general - latching logic</t>
  </si>
  <si>
    <t>低压系统保险丝 LVS fuse</t>
  </si>
  <si>
    <t>所有逻辑实现必须是不可编程的纯硬件电路 Non-programmable logic based on hardwares</t>
  </si>
  <si>
    <t>标注线径 Wiring gauge</t>
  </si>
  <si>
    <t>绿灯和红灯必须可以同时亮起（禁止电路存在二元选择的逻辑）</t>
  </si>
  <si>
    <t>第五章 6.7.3</t>
  </si>
  <si>
    <t>预充电继电器 Precharge relay coil</t>
  </si>
  <si>
    <t>第五章 7.1.3</t>
  </si>
  <si>
    <t>主正线圈 AIR+ coil</t>
  </si>
  <si>
    <t>主负线圈 AIR- coil</t>
  </si>
  <si>
    <t>TSAL - 真值表自查 Truth Table</t>
  </si>
  <si>
    <t>放电继电器线圈 Discharge relay coil</t>
  </si>
  <si>
    <t>请根据车队的设计填写TSAL的状态，在LVS供电的情况下 Based on TSAL design, with LVS power on</t>
  </si>
  <si>
    <t>第五章 7.1.4</t>
  </si>
  <si>
    <t>TSMS是最后一个开关(互锁除外) TSMS is the last switch (except for interlocks)</t>
  </si>
  <si>
    <t>场景 Scenerios</t>
  </si>
  <si>
    <t>绿灯 Green</t>
  </si>
  <si>
    <t>红灯 Red</t>
  </si>
  <si>
    <t>LVMS是第一个开关 LVMS is the first switch</t>
  </si>
  <si>
    <t>HVD移除就进行上电，预充电开始 Start Precharge without HVD on</t>
  </si>
  <si>
    <t>使用通用的原理图符号 Proper electrical schematic symbols</t>
  </si>
  <si>
    <t>绿灯电压检测线开路，但是未开始进行上电操作 Green light voltage detection open, but not activite TS</t>
  </si>
  <si>
    <t>图片高清 Readable with zooming</t>
  </si>
  <si>
    <t>从高压壳体中引出，传输测量结果的低压线开路，但是未开始上电 LVS signal presenting status from TS enclosres open,  but not activite TS</t>
  </si>
  <si>
    <t>第五章 5.11.2</t>
  </si>
  <si>
    <t>闭合任何一个开关都不能（再）激活驱动系统 Closing any switch will not (re)activate TS</t>
  </si>
  <si>
    <t>未上电时，由于快速推动车辆，电机控制器出现了超过60V的浪涌电压 When AIRs are open there are &gt;60V volatge on motor controllers because of pushing the car too fast</t>
  </si>
  <si>
    <t>高压壳体外的高压接插件互锁 Interlocks on TS connectors outside of an enclosure</t>
  </si>
  <si>
    <t>电机控制器内高压检测线开路，开始上电 Activate TS when voltage detection in Motor controller open</t>
  </si>
  <si>
    <t>·未上电时，传输绿灯状态的低压SCS信号出现短路或者开路 When AIRs are open, the LVS SCS signal with green light information is short or open</t>
  </si>
  <si>
    <t>第五章 7.1</t>
  </si>
  <si>
    <t>轮边电机互锁保护 Interlocks of outboard motor</t>
  </si>
  <si>
    <t>AMS/IMD控制的继电器的锁存原理图 AMS/IMD controlled powerstage latching schematics</t>
  </si>
  <si>
    <t>TSAL继电器状态检测电路和绿灯逻辑 TSAL green light - status detections and logic</t>
  </si>
  <si>
    <t>TSAL锁存逻辑 TSAL latching logic</t>
  </si>
  <si>
    <t>AIRs继电器真实状态测量方式 Method of AIR status detections</t>
  </si>
  <si>
    <t>TSAL绿灯部分存在锁存逻辑 TSALgreen light latch logic</t>
  </si>
  <si>
    <t>AIR型号 AIR Type</t>
  </si>
  <si>
    <r>
      <rPr>
        <sz val="11"/>
        <color theme="1"/>
        <rFont val="等线"/>
        <charset val="134"/>
        <scheme val="minor"/>
      </rPr>
      <t>TSAL红灯部分</t>
    </r>
    <r>
      <rPr>
        <b/>
        <sz val="11"/>
        <color theme="1"/>
        <rFont val="等线"/>
        <charset val="134"/>
        <scheme val="minor"/>
      </rPr>
      <t>不</t>
    </r>
    <r>
      <rPr>
        <sz val="11"/>
        <color theme="1"/>
        <rFont val="等线"/>
        <charset val="134"/>
        <scheme val="minor"/>
      </rPr>
      <t>存在锁存逻辑 No TSAL red light latch logic</t>
    </r>
  </si>
  <si>
    <t>AIR说明书超连接 AIR Datasheet Hyperlink</t>
  </si>
  <si>
    <t>锁存仅能通过重新上电进行重置 Reset by powercycle only</t>
  </si>
  <si>
    <t>辅助触点存在 Auxiliary Contacts exist</t>
  </si>
  <si>
    <t>预充电继电器真实状态测量方式 Method of Precharge relay status detections</t>
  </si>
  <si>
    <t>预充电继电器型号 Precharge relay type</t>
  </si>
  <si>
    <t>预充电继电器说明书超连接 Precharge relay datasheet</t>
  </si>
  <si>
    <t>其他测量原理展示明确 Methods (Others) clearly shown</t>
  </si>
  <si>
    <t>所有驱动系统器件型号，额定电压均有标注，电阻元器件额定功率有标注
Type and rated volatge of all TS components, rated power with TS resistors</t>
  </si>
  <si>
    <t>存在AIR的闭合意图检测 Detections of AIR intentions</t>
  </si>
  <si>
    <t>存在继电器闭合意图和实际状态的可靠性检查，不可靠将导致绿灯熄灭
 Plausibility check between intentions and actual status, which turn off the green light when inplausible</t>
  </si>
  <si>
    <t>电压传感器绝缘电压(V)  Galvanic Isolation level</t>
  </si>
  <si>
    <t>标注驱动系统电阻的额定功率(如果有) Rated Power of all TS resistors if used</t>
  </si>
  <si>
    <t>使用轮边电机？ If outboard motors are used</t>
  </si>
  <si>
    <t>互锁线沿悬架布置(其中一根杆即可）Interlock wiring alongside with one of the suspension bars</t>
  </si>
  <si>
    <t>第五章 7.1.6 7.1.7 7.1.9 7.1.10, 7.1.11</t>
  </si>
  <si>
    <t>继电器触点为常开 Powerstage status is open when no power</t>
  </si>
  <si>
    <t>互锁线沿驱动系统线缆布置 Interlock wiring alongside with TS wires</t>
  </si>
  <si>
    <t>锁存原理明确 Latch methods clear</t>
  </si>
  <si>
    <t>电压测量部分，如果阈值是固定的，给出计算过程（右侧补充说明-2） IF volatge threshold is not adjustable, please give the cacualtion on additional comment -2</t>
  </si>
  <si>
    <t>复位方式说明明确 Reset methods clear</t>
  </si>
  <si>
    <t>存在继电器闭合意图和测量电压的可靠性检查，不可靠将导致绿灯熄灭  Plausibility check between intentions and actual TS voltage , which turn off the green light when inplausible</t>
  </si>
  <si>
    <t>状态 status</t>
  </si>
  <si>
    <t>APPS传感器输出类型 Type of APPS sensor output</t>
  </si>
  <si>
    <t>影响扭矩输出路径检查 Torque Control Path Security Checks</t>
  </si>
  <si>
    <t>APPS传感器说明书超连接 APPS datasheet</t>
  </si>
  <si>
    <t>APPS 传感器传递函数 APPS transfer function</t>
  </si>
  <si>
    <t>起点 Source device</t>
  </si>
  <si>
    <t>终点 Destination device</t>
  </si>
  <si>
    <t>通讯方式
communication</t>
  </si>
  <si>
    <t>冗余保护
Redundant</t>
  </si>
  <si>
    <t>超程保护
Out of range</t>
  </si>
  <si>
    <t>相关性保护
Correlation</t>
  </si>
  <si>
    <t>校验和
Checksum</t>
  </si>
  <si>
    <t>超时保护
Timeout</t>
  </si>
  <si>
    <t>其他
Other</t>
  </si>
  <si>
    <t>补充说明 Additional comment</t>
  </si>
  <si>
    <t>第二章 12.8.6</t>
  </si>
  <si>
    <t>传感器行程 Sensor travel</t>
  </si>
  <si>
    <t>APPS1输出Output [V]</t>
  </si>
  <si>
    <t>APPS2输出 Output[V]</t>
  </si>
  <si>
    <t>APPS</t>
  </si>
  <si>
    <t>除0%行程处以外，禁止传递函数相交 No crossing except at 0%</t>
  </si>
  <si>
    <t>电机控制器 Motor Controller</t>
  </si>
  <si>
    <t>说明书超连接 Datasheet</t>
  </si>
  <si>
    <t>说明书超链接 Datasheet hyperlink</t>
  </si>
  <si>
    <t>高低压系统绝缘电压  Galvanic Isolation voltage</t>
  </si>
  <si>
    <t xml:space="preserve"> </t>
  </si>
  <si>
    <t>低压电池 LVS Battery</t>
  </si>
  <si>
    <t>能量计安装位置CAD/渲染图 Energy Meter Location</t>
  </si>
  <si>
    <t>HVD位置及与包络面的关系 HVD location and its relations with the envelop</t>
  </si>
  <si>
    <t>低压电池位置CAD/渲染图  LVS Battery Location</t>
  </si>
  <si>
    <t>低压电池组温度采样触点位置 Location of LVS battery temperature measurement</t>
  </si>
  <si>
    <t>HVD安装位置CAD/渲染图 HVD Location CAD/renderings</t>
  </si>
  <si>
    <t>锂电池低压电池电芯电压温度采样</t>
  </si>
  <si>
    <t>能量计位置 Location of Energy Meter</t>
  </si>
  <si>
    <t>HVD位于包络面内 HVD inside rollover envelop</t>
  </si>
  <si>
    <t>低压电池布置位置符合规则要求 Location Rules complicant</t>
  </si>
  <si>
    <t>低压电池管理系统来源  LVS BMS source</t>
  </si>
  <si>
    <t>补充说明 Additional Comment</t>
  </si>
  <si>
    <t>低压电池说明 LVS Battery</t>
  </si>
  <si>
    <t>低压电池管理系统型号 BMS Type number</t>
  </si>
  <si>
    <t>低压电池制造方式 Source of LVS Battery</t>
  </si>
  <si>
    <t>低压电池管理系统说明书超链接 Datasheet hyperlink</t>
  </si>
  <si>
    <t>电池电芯化学类型 Chemical type of cells</t>
  </si>
  <si>
    <t>磷酸铁锂 LiFePO4</t>
  </si>
  <si>
    <t>在右侧补充内容附上足够清晰的原理图 Schematics on the right additional comments</t>
  </si>
  <si>
    <t>说明具体化学类型</t>
  </si>
  <si>
    <t>能够至少断开低压电池一极 Able disconnect one of the pole of the battery</t>
  </si>
  <si>
    <t>电芯/电池说明书超连接 Cell datasheet hyperlink</t>
  </si>
  <si>
    <t>温度采样点数量占比 Cells measured by temp sensors [%]</t>
  </si>
  <si>
    <t>串联数 # of serial</t>
  </si>
  <si>
    <t>电压采样点数量占比 Cells measured by voltage sensors [%]</t>
  </si>
  <si>
    <t>并联数 # of parallel</t>
  </si>
  <si>
    <t>上位机通讯展示 Communication with an host interface</t>
  </si>
  <si>
    <t xml:space="preserve">电芯单体最大电压 Max cell voltage [V] </t>
  </si>
  <si>
    <t>电芯单体额定电压 Noimal cell voltage [V]</t>
  </si>
  <si>
    <t>电芯单体最大工作温度 Max cell operation temperature  [C]</t>
  </si>
  <si>
    <t>LVS最大电压 LVS battery pack max voltage [V]</t>
  </si>
  <si>
    <t>表-1 基本部件接地要求 Grounding of primary parts</t>
  </si>
  <si>
    <t>表-2 所有驱动系统10cm以内的碳纤维部件（在表-1中未体现）All carbon fiber parts with in 10cm of TS (not listed in table-1)</t>
  </si>
  <si>
    <t>所有驱动系统壳体（在表-1及表-2中未体现）All TS enclosure (not listed in table 1 and 2)</t>
  </si>
  <si>
    <t>位置 Parts</t>
  </si>
  <si>
    <t>材料类型 Type of Materials</t>
  </si>
  <si>
    <t>接地点说明图片 Grounding Point picture</t>
  </si>
  <si>
    <t>承受电流强度 Ampacity [A]</t>
  </si>
  <si>
    <t>位置</t>
  </si>
  <si>
    <t>材料</t>
  </si>
  <si>
    <t>接地点说明图片</t>
  </si>
  <si>
    <t>主环 Main hoop</t>
  </si>
  <si>
    <t>导电 Conductive</t>
  </si>
  <si>
    <t>请将图片控制在此单元格范围内，并在单元格内填写TRUE
Place the picture in this cell, and replace texts in this cell as 'True'</t>
  </si>
  <si>
    <t>部件 parts</t>
  </si>
  <si>
    <t>请将图片控制在此单元格范围内，并在单元格内填写TRUE
如果确实无任何填写的部件，请在此填写TRUE
请将图片控制在此单元格范围内，并在单元格内填写TRUE
Place the picture in this cell, and replace texts in this cell as 'True'
If not parts in this table, also fill this cell as "True"</t>
  </si>
  <si>
    <t>如果不是”导电”材料，本格留空
N/A if not conductive</t>
  </si>
  <si>
    <t>车架/单体壳 Chassis</t>
  </si>
  <si>
    <t>安全带安装点 Harness Mounting points</t>
  </si>
  <si>
    <t>防火墙安装点 Firewall Mounting points</t>
  </si>
  <si>
    <t>防火墙 Firewall</t>
  </si>
  <si>
    <t>前悬架（左右）Front Suspensions (Left and right)</t>
  </si>
  <si>
    <t>后悬架（左右）
Rear Suspensions (Left and right)</t>
  </si>
  <si>
    <t>电池箱通讯接插件
Accunulator communication connector</t>
  </si>
  <si>
    <t>修订历史</t>
  </si>
  <si>
    <t>说明</t>
  </si>
  <si>
    <t>规则版本</t>
  </si>
  <si>
    <t>日期</t>
  </si>
  <si>
    <t>v1.0</t>
  </si>
  <si>
    <t>首次发布</t>
  </si>
  <si>
    <t>2023 答题修订版</t>
  </si>
  <si>
    <t>v1.1</t>
  </si>
  <si>
    <t>发布版本 1.1</t>
  </si>
  <si>
    <t>2024 答题修订版</t>
  </si>
  <si>
    <t>v2.0</t>
  </si>
  <si>
    <t>2024双语版本</t>
  </si>
  <si>
    <t>2024规则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</si>
</sst>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0">
    <font>
      <sz val="11"/>
      <color theme="1"/>
      <name val="等线"/>
      <charset val="134"/>
      <scheme val="minor"/>
    </font>
    <font>
      <b/>
      <sz val="11"/>
      <color theme="1"/>
      <name val="等线"/>
      <charset val="134"/>
      <scheme val="minor"/>
    </font>
    <font>
      <i/>
      <sz val="11"/>
      <color rgb="FF3F3F76"/>
      <name val="等线"/>
      <charset val="134"/>
      <scheme val="minor"/>
    </font>
    <font>
      <sz val="11"/>
      <color rgb="FF3F3F76"/>
      <name val="等线"/>
      <charset val="134"/>
      <scheme val="minor"/>
    </font>
    <font>
      <b/>
      <sz val="11"/>
      <color rgb="FFFA7D00"/>
      <name val="等线"/>
      <charset val="134"/>
      <scheme val="minor"/>
    </font>
    <font>
      <u/>
      <sz val="11"/>
      <color theme="10"/>
      <name val="等线"/>
      <charset val="134"/>
      <scheme val="minor"/>
    </font>
    <font>
      <b/>
      <sz val="11"/>
      <color theme="1"/>
      <name val="等线"/>
      <charset val="134"/>
      <scheme val="minor"/>
    </font>
    <font>
      <u/>
      <sz val="11"/>
      <color rgb="FF3F3F76"/>
      <name val="等线"/>
      <charset val="134"/>
      <scheme val="minor"/>
    </font>
    <font>
      <sz val="11"/>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b/>
      <sz val="11"/>
      <color rgb="FF3F3F3F"/>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scheme val="minor"/>
    </font>
    <font>
      <sz val="11"/>
      <color rgb="FFFF0000"/>
      <name val="等线"/>
      <charset val="134"/>
      <scheme val="minor"/>
    </font>
    <font>
      <b/>
      <sz val="11"/>
      <name val="等线"/>
      <charset val="134"/>
      <scheme val="minor"/>
    </font>
    <font>
      <sz val="11"/>
      <name val="等线"/>
      <charset val="134"/>
      <scheme val="minor"/>
    </font>
  </fonts>
  <fills count="38">
    <fill>
      <patternFill patternType="none"/>
    </fill>
    <fill>
      <patternFill patternType="gray125"/>
    </fill>
    <fill>
      <patternFill patternType="solid">
        <fgColor theme="2" tint="-0.0999481185338908"/>
        <bgColor indexed="64"/>
      </patternFill>
    </fill>
    <fill>
      <patternFill patternType="solid">
        <fgColor theme="9" tint="0.599993896298105"/>
        <bgColor indexed="64"/>
      </patternFill>
    </fill>
    <fill>
      <patternFill patternType="solid">
        <fgColor rgb="FF66CCFF"/>
        <bgColor indexed="64"/>
      </patternFill>
    </fill>
    <fill>
      <patternFill patternType="solid">
        <fgColor rgb="FFFFCC99"/>
        <bgColor indexed="64"/>
      </patternFill>
    </fill>
    <fill>
      <patternFill patternType="solid">
        <fgColor theme="0" tint="-0.149998474074526"/>
        <bgColor indexed="64"/>
      </patternFill>
    </fill>
    <fill>
      <patternFill patternType="solid">
        <fgColor rgb="FFF2F2F2"/>
        <bgColor indexed="64"/>
      </patternFill>
    </fill>
    <fill>
      <patternFill patternType="solid">
        <fgColor rgb="FFFFD966"/>
        <bgColor indexed="64"/>
      </patternFill>
    </fill>
    <fill>
      <patternFill patternType="solid">
        <fgColor rgb="FFFFFFCC"/>
        <bgColor indexed="64"/>
      </patternFill>
    </fill>
    <fill>
      <patternFill patternType="solid">
        <fgColor theme="4" tint="0.599993896298105"/>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45">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right/>
      <top style="thin">
        <color rgb="FF7F7F7F"/>
      </top>
      <bottom/>
      <diagonal/>
    </border>
    <border>
      <left style="thin">
        <color rgb="FF7F7F7F"/>
      </left>
      <right style="thin">
        <color rgb="FF7F7F7F"/>
      </right>
      <top/>
      <bottom style="thin">
        <color rgb="FF7F7F7F"/>
      </bottom>
      <diagonal/>
    </border>
    <border>
      <left style="thin">
        <color rgb="FF7F7F7F"/>
      </left>
      <right/>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thin">
        <color rgb="FF7F7F7F"/>
      </bottom>
      <diagonal/>
    </border>
    <border>
      <left/>
      <right/>
      <top/>
      <bottom style="thin">
        <color auto="1"/>
      </bottom>
      <diagonal/>
    </border>
    <border>
      <left style="thin">
        <color rgb="FFA6A6A6"/>
      </left>
      <right/>
      <top style="thin">
        <color rgb="FFA6A6A6"/>
      </top>
      <bottom/>
      <diagonal/>
    </border>
    <border>
      <left/>
      <right style="thin">
        <color rgb="FFA6A6A6"/>
      </right>
      <top style="thin">
        <color rgb="FFA6A6A6"/>
      </top>
      <bottom/>
      <diagonal/>
    </border>
    <border>
      <left style="thin">
        <color rgb="FFB2B2B2"/>
      </left>
      <right style="thin">
        <color rgb="FFB2B2B2"/>
      </right>
      <top style="thin">
        <color rgb="FFB2B2B2"/>
      </top>
      <bottom style="thin">
        <color rgb="FFB2B2B2"/>
      </bottom>
      <diagonal/>
    </border>
    <border>
      <left style="thin">
        <color rgb="FF7F7F7F"/>
      </left>
      <right/>
      <top style="thin">
        <color rgb="FF7F7F7F"/>
      </top>
      <bottom/>
      <diagonal/>
    </border>
    <border>
      <left style="thin">
        <color rgb="FF7F7F7F"/>
      </left>
      <right/>
      <top/>
      <bottom style="thin">
        <color rgb="FF7F7F7F"/>
      </bottom>
      <diagonal/>
    </border>
    <border>
      <left/>
      <right style="thin">
        <color rgb="FF7F7F7F"/>
      </right>
      <top style="thin">
        <color rgb="FF7F7F7F"/>
      </top>
      <bottom/>
      <diagonal/>
    </border>
    <border>
      <left/>
      <right style="thin">
        <color rgb="FF7F7F7F"/>
      </right>
      <top/>
      <bottom style="thin">
        <color rgb="FF7F7F7F"/>
      </bottom>
      <diagonal/>
    </border>
    <border>
      <left/>
      <right style="thin">
        <color rgb="FF3F3F3F"/>
      </right>
      <top/>
      <bottom/>
      <diagonal/>
    </border>
    <border>
      <left/>
      <right/>
      <top style="thin">
        <color rgb="FFA6A6A6"/>
      </top>
      <bottom/>
      <diagonal/>
    </border>
    <border>
      <left style="thin">
        <color rgb="FFA6A6A6"/>
      </left>
      <right style="thin">
        <color rgb="FFA6A6A6"/>
      </right>
      <top style="thin">
        <color rgb="FFA6A6A6"/>
      </top>
      <bottom/>
      <diagonal/>
    </border>
    <border>
      <left/>
      <right style="thin">
        <color rgb="FF7F7F7F"/>
      </right>
      <top style="thin">
        <color rgb="FFA6A6A6"/>
      </top>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thin">
        <color rgb="FF7F7F7F"/>
      </right>
      <top/>
      <bottom style="thin">
        <color rgb="FFA6A6A6"/>
      </bottom>
      <diagonal/>
    </border>
    <border>
      <left style="thin">
        <color rgb="FF7F7F7F"/>
      </left>
      <right style="thin">
        <color rgb="FFB2B2B2"/>
      </right>
      <top style="thin">
        <color rgb="FFB2B2B2"/>
      </top>
      <bottom/>
      <diagonal/>
    </border>
    <border>
      <left style="thin">
        <color rgb="FF7F7F7F"/>
      </left>
      <right style="thin">
        <color rgb="FFB2B2B2"/>
      </right>
      <top/>
      <bottom/>
      <diagonal/>
    </border>
    <border>
      <left style="thin">
        <color rgb="FF7F7F7F"/>
      </left>
      <right style="thin">
        <color rgb="FFB2B2B2"/>
      </right>
      <top/>
      <bottom style="thin">
        <color rgb="FFB2B2B2"/>
      </bottom>
      <diagonal/>
    </border>
    <border>
      <left/>
      <right/>
      <top/>
      <bottom style="thin">
        <color rgb="FFB2B2B2"/>
      </bottom>
      <diagonal/>
    </border>
    <border>
      <left/>
      <right/>
      <top style="thin">
        <color rgb="FFB2B2B2"/>
      </top>
      <bottom/>
      <diagonal/>
    </border>
    <border>
      <left/>
      <right style="thin">
        <color rgb="FFB2B2B2"/>
      </right>
      <top style="thin">
        <color rgb="FFB2B2B2"/>
      </top>
      <bottom/>
      <diagonal/>
    </border>
    <border>
      <left/>
      <right style="thin">
        <color rgb="FFB2B2B2"/>
      </right>
      <top/>
      <bottom/>
      <diagonal/>
    </border>
    <border>
      <left/>
      <right style="thin">
        <color rgb="FFB2B2B2"/>
      </right>
      <top/>
      <bottom style="thin">
        <color rgb="FFB2B2B2"/>
      </bottom>
      <diagonal/>
    </border>
    <border>
      <left/>
      <right/>
      <top/>
      <bottom style="double">
        <color theme="4"/>
      </bottom>
      <diagonal/>
    </border>
    <border>
      <left/>
      <right/>
      <top style="thin">
        <color theme="4"/>
      </top>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2"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0"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5" fillId="0" borderId="0" applyNumberFormat="0" applyFill="0" applyBorder="0" applyAlignment="0" applyProtection="0"/>
    <xf numFmtId="0" fontId="10" fillId="0" borderId="0" applyNumberFormat="0" applyFill="0" applyBorder="0" applyAlignment="0" applyProtection="0">
      <alignment vertical="center"/>
    </xf>
    <xf numFmtId="0" fontId="0" fillId="9" borderId="1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9" applyNumberFormat="0" applyFill="0" applyAlignment="0" applyProtection="0">
      <alignment vertical="center"/>
    </xf>
    <xf numFmtId="0" fontId="15" fillId="0" borderId="39" applyNumberFormat="0" applyFill="0" applyAlignment="0" applyProtection="0">
      <alignment vertical="center"/>
    </xf>
    <xf numFmtId="0" fontId="16" fillId="0" borderId="40" applyNumberFormat="0" applyFill="0" applyAlignment="0" applyProtection="0">
      <alignment vertical="center"/>
    </xf>
    <xf numFmtId="0" fontId="16" fillId="0" borderId="0" applyNumberFormat="0" applyFill="0" applyBorder="0" applyAlignment="0" applyProtection="0">
      <alignment vertical="center"/>
    </xf>
    <xf numFmtId="0" fontId="3" fillId="5" borderId="1" applyNumberFormat="0" applyAlignment="0">
      <alignment vertical="center"/>
      <protection locked="0"/>
    </xf>
    <xf numFmtId="0" fontId="17" fillId="11" borderId="41" applyNumberFormat="0" applyAlignment="0" applyProtection="0">
      <alignment vertical="center"/>
    </xf>
    <xf numFmtId="0" fontId="4" fillId="7" borderId="1" applyNumberFormat="0" applyAlignment="0" applyProtection="0">
      <alignment vertical="center"/>
    </xf>
    <xf numFmtId="0" fontId="18" fillId="12" borderId="42" applyNumberFormat="0" applyAlignment="0" applyProtection="0">
      <alignment vertical="center"/>
    </xf>
    <xf numFmtId="0" fontId="19" fillId="0" borderId="43" applyNumberFormat="0" applyFill="0" applyAlignment="0" applyProtection="0">
      <alignment vertical="center"/>
    </xf>
    <xf numFmtId="0" fontId="20" fillId="0" borderId="44"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0" fillId="10"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0" fillId="3" borderId="0" applyNumberFormat="0" applyBorder="0" applyAlignment="0" applyProtection="0">
      <alignment vertical="center"/>
    </xf>
    <xf numFmtId="0" fontId="24" fillId="37" borderId="0" applyNumberFormat="0" applyBorder="0" applyAlignment="0" applyProtection="0">
      <alignment vertical="center"/>
    </xf>
    <xf numFmtId="0" fontId="0" fillId="0" borderId="0" applyBorder="0" applyProtection="0">
      <alignment horizontal="center"/>
    </xf>
  </cellStyleXfs>
  <cellXfs count="185">
    <xf numFmtId="0" fontId="0" fillId="2" borderId="0" xfId="0"/>
    <xf numFmtId="0" fontId="0" fillId="3" borderId="0" xfId="47" applyAlignment="1"/>
    <xf numFmtId="0" fontId="0" fillId="0" borderId="0" xfId="49">
      <alignment horizontal="center"/>
    </xf>
    <xf numFmtId="14" fontId="0" fillId="0" borderId="0" xfId="49" applyNumberFormat="1">
      <alignment horizontal="center"/>
    </xf>
    <xf numFmtId="0" fontId="0" fillId="2" borderId="0" xfId="0" applyAlignment="1">
      <alignment horizontal="center" vertical="center"/>
    </xf>
    <xf numFmtId="0" fontId="0" fillId="0" borderId="0" xfId="49" applyAlignment="1">
      <alignment horizontal="left"/>
    </xf>
    <xf numFmtId="0" fontId="0" fillId="4" borderId="0" xfId="0" applyFill="1" applyAlignment="1">
      <alignment horizontal="center"/>
    </xf>
    <xf numFmtId="0" fontId="1" fillId="3" borderId="0" xfId="47" applyFont="1" applyAlignment="1">
      <alignment horizontal="center"/>
    </xf>
    <xf numFmtId="0" fontId="0" fillId="4" borderId="0" xfId="0" applyFill="1" applyAlignment="1">
      <alignment horizontal="center" vertical="center"/>
    </xf>
    <xf numFmtId="0" fontId="1" fillId="3" borderId="0" xfId="47" applyFont="1" applyAlignment="1"/>
    <xf numFmtId="0" fontId="0" fillId="0" borderId="0" xfId="49" applyAlignment="1">
      <alignment horizontal="center" vertical="center"/>
    </xf>
    <xf numFmtId="0" fontId="2" fillId="5" borderId="1" xfId="16" applyFont="1" applyAlignment="1">
      <alignment horizontal="center" vertical="center" wrapText="1"/>
      <protection locked="0"/>
    </xf>
    <xf numFmtId="0" fontId="3" fillId="5" borderId="1" xfId="16" applyAlignment="1">
      <alignment horizontal="center" vertical="center"/>
      <protection locked="0"/>
    </xf>
    <xf numFmtId="0" fontId="0" fillId="0" borderId="0" xfId="49" applyAlignment="1">
      <alignment horizontal="center" vertical="center" wrapText="1"/>
    </xf>
    <xf numFmtId="0" fontId="3" fillId="5" borderId="1" xfId="16" applyAlignment="1">
      <alignment horizontal="center" vertical="center" wrapText="1"/>
      <protection locked="0"/>
    </xf>
    <xf numFmtId="0" fontId="0" fillId="0" borderId="0" xfId="49" applyAlignment="1">
      <alignment horizontal="right"/>
    </xf>
    <xf numFmtId="0" fontId="0" fillId="6" borderId="0" xfId="0" applyFill="1"/>
    <xf numFmtId="0" fontId="0" fillId="0" borderId="2" xfId="49" applyBorder="1" applyAlignment="1">
      <alignment horizontal="left"/>
    </xf>
    <xf numFmtId="0" fontId="3" fillId="5" borderId="3" xfId="16" applyBorder="1" applyAlignment="1">
      <alignment horizontal="left"/>
      <protection locked="0"/>
    </xf>
    <xf numFmtId="0" fontId="3" fillId="5" borderId="4" xfId="16" applyBorder="1" applyAlignment="1">
      <alignment horizontal="left"/>
      <protection locked="0"/>
    </xf>
    <xf numFmtId="0" fontId="3" fillId="5" borderId="1" xfId="16" applyAlignment="1">
      <alignment horizontal="left"/>
      <protection locked="0"/>
    </xf>
    <xf numFmtId="0" fontId="0" fillId="0" borderId="0" xfId="49" applyAlignment="1">
      <alignment horizontal="right" wrapText="1"/>
    </xf>
    <xf numFmtId="0" fontId="0" fillId="0" borderId="0" xfId="49" applyAlignment="1">
      <alignment horizontal="left" vertical="center" wrapText="1"/>
    </xf>
    <xf numFmtId="0" fontId="3" fillId="5" borderId="5" xfId="16" applyBorder="1" applyAlignment="1">
      <alignment horizontal="center"/>
      <protection locked="0"/>
    </xf>
    <xf numFmtId="0" fontId="0" fillId="2" borderId="6" xfId="0" applyBorder="1" applyAlignment="1">
      <alignment horizontal="left"/>
    </xf>
    <xf numFmtId="0" fontId="3" fillId="5" borderId="7" xfId="16" applyBorder="1" applyAlignment="1">
      <alignment horizontal="center"/>
      <protection locked="0"/>
    </xf>
    <xf numFmtId="0" fontId="0" fillId="2" borderId="0" xfId="0" applyAlignment="1">
      <alignment horizontal="left"/>
    </xf>
    <xf numFmtId="0" fontId="0" fillId="0" borderId="2" xfId="49" applyBorder="1" applyAlignment="1">
      <alignment horizontal="right"/>
    </xf>
    <xf numFmtId="0" fontId="3" fillId="5" borderId="1" xfId="16" applyAlignment="1">
      <protection locked="0"/>
    </xf>
    <xf numFmtId="0" fontId="3" fillId="5" borderId="8" xfId="16" applyBorder="1" applyAlignment="1">
      <alignment horizontal="left" vertical="top" wrapText="1"/>
      <protection locked="0"/>
    </xf>
    <xf numFmtId="0" fontId="3" fillId="5" borderId="0" xfId="16" applyBorder="1" applyAlignment="1">
      <alignment horizontal="left" vertical="top" wrapText="1"/>
      <protection locked="0"/>
    </xf>
    <xf numFmtId="0" fontId="0" fillId="0" borderId="2" xfId="49" applyBorder="1" applyAlignment="1">
      <alignment horizontal="right" wrapText="1"/>
    </xf>
    <xf numFmtId="0" fontId="3" fillId="5" borderId="1" xfId="16" applyAlignment="1" applyProtection="1">
      <alignment horizontal="center" vertical="center" wrapText="1"/>
    </xf>
    <xf numFmtId="0" fontId="0" fillId="0" borderId="0" xfId="49" applyAlignment="1">
      <alignment horizontal="left" wrapText="1"/>
    </xf>
    <xf numFmtId="0" fontId="4" fillId="7" borderId="1" xfId="18" applyAlignment="1"/>
    <xf numFmtId="0" fontId="0" fillId="0" borderId="2" xfId="49" applyBorder="1" applyAlignment="1">
      <alignment horizontal="left" wrapText="1"/>
    </xf>
    <xf numFmtId="0" fontId="0" fillId="3" borderId="0" xfId="47" applyAlignment="1">
      <alignment horizontal="center"/>
    </xf>
    <xf numFmtId="0" fontId="0" fillId="0" borderId="0" xfId="49" applyAlignment="1">
      <alignment horizontal="center" wrapText="1"/>
    </xf>
    <xf numFmtId="0" fontId="0" fillId="8" borderId="9" xfId="27" applyFont="1" applyFill="1" applyBorder="1" applyAlignment="1">
      <alignment horizontal="center"/>
    </xf>
    <xf numFmtId="0" fontId="0" fillId="8" borderId="10" xfId="27" applyFill="1" applyBorder="1" applyAlignment="1">
      <alignment horizontal="center"/>
    </xf>
    <xf numFmtId="0" fontId="0" fillId="0" borderId="9" xfId="27" applyFill="1" applyBorder="1" applyAlignment="1">
      <alignment horizontal="center"/>
    </xf>
    <xf numFmtId="0" fontId="0" fillId="0" borderId="10" xfId="27" applyFill="1" applyBorder="1" applyAlignment="1">
      <alignment horizontal="center"/>
    </xf>
    <xf numFmtId="0" fontId="0" fillId="0" borderId="11" xfId="27" applyFill="1" applyBorder="1" applyAlignment="1">
      <alignment horizontal="center"/>
    </xf>
    <xf numFmtId="0" fontId="1" fillId="0" borderId="0" xfId="49" applyFont="1" applyAlignment="1">
      <alignment horizontal="right" wrapText="1"/>
    </xf>
    <xf numFmtId="0" fontId="1" fillId="0" borderId="0" xfId="49" applyFont="1">
      <alignment horizontal="center"/>
    </xf>
    <xf numFmtId="9" fontId="0" fillId="0" borderId="0" xfId="3" applyFont="1" applyFill="1" applyAlignment="1"/>
    <xf numFmtId="0" fontId="3" fillId="5" borderId="1" xfId="16" applyAlignment="1">
      <alignment horizontal="center"/>
      <protection locked="0"/>
    </xf>
    <xf numFmtId="0" fontId="0" fillId="0" borderId="12" xfId="49" applyBorder="1" applyAlignment="1">
      <alignment horizontal="center" wrapText="1"/>
    </xf>
    <xf numFmtId="0" fontId="0" fillId="0" borderId="13" xfId="49" applyBorder="1">
      <alignment horizontal="center"/>
    </xf>
    <xf numFmtId="0" fontId="0" fillId="0" borderId="12" xfId="49" applyBorder="1">
      <alignment horizontal="center"/>
    </xf>
    <xf numFmtId="0" fontId="0" fillId="2" borderId="0" xfId="0" applyAlignment="1">
      <alignment vertical="center"/>
    </xf>
    <xf numFmtId="0" fontId="0" fillId="8" borderId="9" xfId="27" applyFont="1" applyFill="1" applyBorder="1" applyAlignment="1">
      <alignment horizontal="left"/>
    </xf>
    <xf numFmtId="0" fontId="0" fillId="8" borderId="10" xfId="27" applyFill="1" applyBorder="1" applyAlignment="1">
      <alignment horizontal="left"/>
    </xf>
    <xf numFmtId="0" fontId="0" fillId="8" borderId="9" xfId="27" applyFill="1" applyBorder="1" applyAlignment="1">
      <alignment horizontal="center"/>
    </xf>
    <xf numFmtId="0" fontId="0" fillId="8" borderId="11" xfId="27" applyFill="1" applyBorder="1" applyAlignment="1">
      <alignment horizontal="center"/>
    </xf>
    <xf numFmtId="0" fontId="0" fillId="0" borderId="0" xfId="49" applyAlignment="1">
      <alignment horizontal="left" vertical="center"/>
    </xf>
    <xf numFmtId="0" fontId="0" fillId="8" borderId="11" xfId="27" applyFill="1" applyBorder="1" applyAlignment="1">
      <alignment horizontal="left"/>
    </xf>
    <xf numFmtId="0" fontId="0" fillId="4" borderId="6" xfId="0" applyFill="1" applyBorder="1" applyAlignment="1">
      <alignment horizontal="center" vertical="center"/>
    </xf>
    <xf numFmtId="0" fontId="5" fillId="5" borderId="8" xfId="6" applyFill="1" applyBorder="1" applyAlignment="1" applyProtection="1">
      <alignment horizontal="left" vertical="top" wrapText="1"/>
      <protection locked="0"/>
    </xf>
    <xf numFmtId="0" fontId="5" fillId="5" borderId="0" xfId="6" applyFill="1" applyBorder="1" applyAlignment="1" applyProtection="1">
      <alignment horizontal="left" vertical="top" wrapText="1"/>
      <protection locked="0"/>
    </xf>
    <xf numFmtId="0" fontId="0" fillId="0" borderId="2" xfId="49" applyBorder="1" applyAlignment="1">
      <alignment horizontal="left" vertical="center" wrapText="1"/>
    </xf>
    <xf numFmtId="0" fontId="3" fillId="5" borderId="1" xfId="16" applyAlignment="1">
      <alignment vertical="center"/>
      <protection locked="0"/>
    </xf>
    <xf numFmtId="0" fontId="0" fillId="0" borderId="2" xfId="49" applyBorder="1" applyAlignment="1">
      <alignment horizontal="left" vertical="center"/>
    </xf>
    <xf numFmtId="0" fontId="0" fillId="8" borderId="14" xfId="0" applyFill="1" applyBorder="1" applyAlignment="1">
      <alignment horizontal="center"/>
    </xf>
    <xf numFmtId="0" fontId="0" fillId="8" borderId="15" xfId="0" applyFill="1" applyBorder="1" applyAlignment="1">
      <alignment horizontal="center"/>
    </xf>
    <xf numFmtId="0" fontId="0" fillId="9" borderId="16" xfId="8" applyFont="1" applyAlignment="1">
      <alignment horizontal="left" vertical="top" wrapText="1"/>
    </xf>
    <xf numFmtId="0" fontId="0" fillId="9" borderId="16" xfId="8" applyFont="1" applyAlignment="1">
      <alignment horizontal="left" vertical="top"/>
    </xf>
    <xf numFmtId="0" fontId="1" fillId="0" borderId="0" xfId="49" applyFont="1" applyAlignment="1">
      <alignment horizontal="right"/>
    </xf>
    <xf numFmtId="0" fontId="0" fillId="3" borderId="0" xfId="47" applyFont="1" applyAlignment="1">
      <alignment horizontal="center"/>
    </xf>
    <xf numFmtId="0" fontId="1" fillId="0" borderId="0" xfId="49" applyFont="1" applyAlignment="1">
      <alignment horizontal="left"/>
    </xf>
    <xf numFmtId="0" fontId="3" fillId="5" borderId="1" xfId="16" applyAlignment="1">
      <alignment wrapText="1"/>
      <protection locked="0"/>
    </xf>
    <xf numFmtId="0" fontId="5" fillId="5" borderId="1" xfId="6" applyFill="1" applyBorder="1" applyAlignment="1" applyProtection="1">
      <protection locked="0"/>
    </xf>
    <xf numFmtId="0" fontId="4" fillId="7" borderId="1" xfId="18" applyAlignment="1" applyProtection="1">
      <protection locked="0"/>
    </xf>
    <xf numFmtId="0" fontId="0" fillId="3" borderId="12" xfId="47" applyFont="1" applyBorder="1" applyAlignment="1">
      <alignment horizontal="center"/>
    </xf>
    <xf numFmtId="0" fontId="0" fillId="3" borderId="12" xfId="47" applyBorder="1" applyAlignment="1">
      <alignment horizontal="center"/>
    </xf>
    <xf numFmtId="0" fontId="3" fillId="5" borderId="17" xfId="16" applyBorder="1" applyAlignment="1">
      <alignment horizontal="center" vertical="center" wrapText="1"/>
      <protection locked="0"/>
    </xf>
    <xf numFmtId="0" fontId="3" fillId="5" borderId="6" xfId="16" applyBorder="1" applyAlignment="1">
      <alignment horizontal="center" vertical="center" wrapText="1"/>
      <protection locked="0"/>
    </xf>
    <xf numFmtId="0" fontId="3" fillId="5" borderId="8" xfId="16" applyBorder="1" applyAlignment="1">
      <alignment horizontal="center" vertical="center" wrapText="1"/>
      <protection locked="0"/>
    </xf>
    <xf numFmtId="0" fontId="3" fillId="5" borderId="0" xfId="16" applyBorder="1" applyAlignment="1">
      <alignment horizontal="center" vertical="center" wrapText="1"/>
      <protection locked="0"/>
    </xf>
    <xf numFmtId="0" fontId="3" fillId="5" borderId="18" xfId="16" applyBorder="1" applyAlignment="1">
      <alignment horizontal="center" vertical="center" wrapText="1"/>
      <protection locked="0"/>
    </xf>
    <xf numFmtId="0" fontId="3" fillId="5" borderId="12" xfId="16" applyBorder="1" applyAlignment="1">
      <alignment horizontal="center" vertical="center" wrapText="1"/>
      <protection locked="0"/>
    </xf>
    <xf numFmtId="0" fontId="3" fillId="5" borderId="19" xfId="16" applyBorder="1" applyAlignment="1">
      <alignment horizontal="center" vertical="center" wrapText="1"/>
      <protection locked="0"/>
    </xf>
    <xf numFmtId="0" fontId="3" fillId="5" borderId="2" xfId="16" applyBorder="1" applyAlignment="1">
      <alignment horizontal="center" vertical="center" wrapText="1"/>
      <protection locked="0"/>
    </xf>
    <xf numFmtId="0" fontId="3" fillId="5" borderId="20" xfId="16" applyBorder="1" applyAlignment="1">
      <alignment horizontal="center" vertical="center" wrapText="1"/>
      <protection locked="0"/>
    </xf>
    <xf numFmtId="0" fontId="0" fillId="9" borderId="16" xfId="8" applyAlignment="1">
      <alignment horizontal="right" vertical="center"/>
    </xf>
    <xf numFmtId="0" fontId="0" fillId="9" borderId="16" xfId="8" applyAlignment="1">
      <alignment horizontal="center" vertical="center" wrapText="1"/>
    </xf>
    <xf numFmtId="0" fontId="0" fillId="0" borderId="21" xfId="49" applyBorder="1" applyAlignment="1">
      <alignment horizontal="left"/>
    </xf>
    <xf numFmtId="0" fontId="0" fillId="0" borderId="0" xfId="49" applyFont="1" applyAlignment="1">
      <alignment horizontal="left"/>
    </xf>
    <xf numFmtId="0" fontId="3" fillId="5" borderId="6" xfId="16" applyBorder="1" applyAlignment="1">
      <alignment horizontal="left" vertical="top" wrapText="1"/>
      <protection locked="0"/>
    </xf>
    <xf numFmtId="0" fontId="5" fillId="5" borderId="1" xfId="6" applyFill="1" applyBorder="1" applyAlignment="1" applyProtection="1">
      <alignment horizontal="left"/>
      <protection locked="0"/>
    </xf>
    <xf numFmtId="0" fontId="3" fillId="5" borderId="1" xfId="16" applyAlignment="1">
      <alignment horizontal="left" vertical="top" wrapText="1"/>
      <protection locked="0"/>
    </xf>
    <xf numFmtId="0" fontId="3" fillId="5" borderId="1" xfId="16" applyAlignment="1" applyProtection="1">
      <alignment horizontal="center" vertical="center"/>
    </xf>
    <xf numFmtId="2" fontId="4" fillId="7" borderId="1" xfId="18" applyNumberFormat="1" applyAlignment="1"/>
    <xf numFmtId="176" fontId="4" fillId="7" borderId="1" xfId="18" applyNumberFormat="1" applyAlignment="1"/>
    <xf numFmtId="0" fontId="0" fillId="2" borderId="22" xfId="0" applyBorder="1" applyAlignment="1">
      <alignment horizontal="left"/>
    </xf>
    <xf numFmtId="0" fontId="0" fillId="0" borderId="0" xfId="49" applyAlignment="1"/>
    <xf numFmtId="0" fontId="1" fillId="3" borderId="12" xfId="47" applyFont="1" applyBorder="1" applyAlignment="1">
      <alignment horizontal="center"/>
    </xf>
    <xf numFmtId="0" fontId="3" fillId="5" borderId="17" xfId="16" applyBorder="1" applyAlignment="1">
      <alignment horizontal="left" vertical="top" wrapText="1"/>
      <protection locked="0"/>
    </xf>
    <xf numFmtId="0" fontId="3" fillId="5" borderId="19" xfId="16" applyBorder="1" applyAlignment="1">
      <alignment horizontal="left" vertical="top" wrapText="1"/>
      <protection locked="0"/>
    </xf>
    <xf numFmtId="0" fontId="3" fillId="5" borderId="2" xfId="16" applyBorder="1" applyAlignment="1">
      <alignment horizontal="left" vertical="top" wrapText="1"/>
      <protection locked="0"/>
    </xf>
    <xf numFmtId="0" fontId="3" fillId="5" borderId="18" xfId="16" applyBorder="1" applyAlignment="1">
      <alignment horizontal="left" vertical="top" wrapText="1"/>
      <protection locked="0"/>
    </xf>
    <xf numFmtId="0" fontId="3" fillId="5" borderId="12" xfId="16" applyBorder="1" applyAlignment="1">
      <alignment horizontal="left" vertical="top" wrapText="1"/>
      <protection locked="0"/>
    </xf>
    <xf numFmtId="0" fontId="3" fillId="5" borderId="20" xfId="16" applyBorder="1" applyAlignment="1">
      <alignment horizontal="left" vertical="top" wrapText="1"/>
      <protection locked="0"/>
    </xf>
    <xf numFmtId="0" fontId="4" fillId="7" borderId="1" xfId="18" applyAlignment="1" applyProtection="1"/>
    <xf numFmtId="0" fontId="0" fillId="0" borderId="0" xfId="49" applyAlignment="1">
      <alignment horizontal="right" vertical="center"/>
    </xf>
    <xf numFmtId="0" fontId="0" fillId="0" borderId="2" xfId="49" applyBorder="1" applyAlignment="1">
      <alignment horizontal="right" vertical="center"/>
    </xf>
    <xf numFmtId="0" fontId="3" fillId="5" borderId="3" xfId="16" applyBorder="1" applyAlignment="1">
      <alignment horizontal="center" vertical="center"/>
      <protection locked="0"/>
    </xf>
    <xf numFmtId="0" fontId="3" fillId="5" borderId="4" xfId="16" applyBorder="1" applyAlignment="1">
      <alignment horizontal="center" vertical="center"/>
      <protection locked="0"/>
    </xf>
    <xf numFmtId="0" fontId="4" fillId="7" borderId="1" xfId="18" applyAlignment="1">
      <alignment horizontal="center"/>
    </xf>
    <xf numFmtId="0" fontId="0" fillId="8" borderId="23" xfId="0" applyFill="1" applyBorder="1" applyAlignment="1">
      <alignment horizontal="center"/>
    </xf>
    <xf numFmtId="0" fontId="3" fillId="5" borderId="14" xfId="16" applyBorder="1" applyAlignment="1">
      <alignment vertical="top" wrapText="1"/>
      <protection locked="0"/>
    </xf>
    <xf numFmtId="0" fontId="0" fillId="2" borderId="22" xfId="0" applyBorder="1" applyAlignment="1">
      <alignment vertical="top" wrapText="1"/>
    </xf>
    <xf numFmtId="0" fontId="0" fillId="2" borderId="24" xfId="0" applyBorder="1" applyAlignment="1">
      <alignment vertical="top" wrapText="1"/>
    </xf>
    <xf numFmtId="0" fontId="0" fillId="2" borderId="25" xfId="0" applyBorder="1" applyAlignment="1">
      <alignment vertical="top" wrapText="1"/>
    </xf>
    <xf numFmtId="0" fontId="0" fillId="2" borderId="0" xfId="0" applyAlignment="1">
      <alignment vertical="top" wrapText="1"/>
    </xf>
    <xf numFmtId="0" fontId="0" fillId="2" borderId="2" xfId="0" applyBorder="1" applyAlignment="1">
      <alignment vertical="top" wrapText="1"/>
    </xf>
    <xf numFmtId="0" fontId="0" fillId="2" borderId="26" xfId="0" applyBorder="1" applyAlignment="1">
      <alignment vertical="top" wrapText="1"/>
    </xf>
    <xf numFmtId="0" fontId="0" fillId="2" borderId="27" xfId="0" applyBorder="1" applyAlignment="1">
      <alignment vertical="top" wrapText="1"/>
    </xf>
    <xf numFmtId="0" fontId="0" fillId="2" borderId="28" xfId="0" applyBorder="1" applyAlignment="1">
      <alignment vertical="top" wrapText="1"/>
    </xf>
    <xf numFmtId="0" fontId="3" fillId="5" borderId="1" xfId="16" applyAlignment="1">
      <alignment horizontal="left" vertical="center"/>
      <protection locked="0"/>
    </xf>
    <xf numFmtId="0" fontId="0" fillId="0" borderId="8" xfId="49" applyBorder="1" applyAlignment="1" applyProtection="1">
      <alignment horizontal="right"/>
      <protection locked="0"/>
    </xf>
    <xf numFmtId="0" fontId="0" fillId="0" borderId="0" xfId="49" applyBorder="1" applyAlignment="1" applyProtection="1">
      <alignment horizontal="right"/>
      <protection locked="0"/>
    </xf>
    <xf numFmtId="0" fontId="0" fillId="0" borderId="2" xfId="49" applyBorder="1" applyAlignment="1" applyProtection="1">
      <alignment horizontal="right"/>
      <protection locked="0"/>
    </xf>
    <xf numFmtId="0" fontId="4" fillId="7" borderId="1" xfId="18" applyAlignment="1">
      <alignment horizontal="left"/>
    </xf>
    <xf numFmtId="0" fontId="3" fillId="5" borderId="3" xfId="16" applyBorder="1" applyAlignment="1">
      <alignment horizontal="center"/>
      <protection locked="0"/>
    </xf>
    <xf numFmtId="0" fontId="3" fillId="5" borderId="4" xfId="16" applyBorder="1" applyAlignment="1">
      <alignment horizontal="center"/>
      <protection locked="0"/>
    </xf>
    <xf numFmtId="0" fontId="0" fillId="0" borderId="0" xfId="49" applyAlignment="1">
      <alignment horizontal="right" vertical="center" wrapText="1"/>
    </xf>
    <xf numFmtId="0" fontId="1" fillId="0" borderId="2" xfId="49" applyFont="1" applyBorder="1" applyAlignment="1">
      <alignment horizontal="right"/>
    </xf>
    <xf numFmtId="0" fontId="1" fillId="3" borderId="0" xfId="47" applyFont="1" applyAlignment="1">
      <alignment horizontal="center" vertical="center"/>
    </xf>
    <xf numFmtId="0" fontId="1" fillId="3" borderId="12" xfId="47" applyFont="1" applyBorder="1" applyAlignment="1">
      <alignment horizontal="center" vertical="center"/>
    </xf>
    <xf numFmtId="0" fontId="0" fillId="9" borderId="29" xfId="8" applyFont="1" applyBorder="1" applyAlignment="1">
      <alignment horizontal="center" vertical="top" wrapText="1"/>
    </xf>
    <xf numFmtId="0" fontId="0" fillId="9" borderId="30" xfId="8" applyFont="1" applyBorder="1" applyAlignment="1">
      <alignment horizontal="center" vertical="top" wrapText="1"/>
    </xf>
    <xf numFmtId="0" fontId="0" fillId="9" borderId="31" xfId="8" applyFont="1" applyBorder="1" applyAlignment="1">
      <alignment horizontal="center" vertical="top" wrapText="1"/>
    </xf>
    <xf numFmtId="0" fontId="0" fillId="0" borderId="2" xfId="49" applyBorder="1" applyAlignment="1">
      <alignment horizontal="right" vertical="center" wrapText="1"/>
    </xf>
    <xf numFmtId="0" fontId="0" fillId="8" borderId="22" xfId="0" applyFill="1" applyBorder="1" applyAlignment="1">
      <alignment horizontal="center" vertical="center" wrapText="1"/>
    </xf>
    <xf numFmtId="0" fontId="0" fillId="8" borderId="32" xfId="0" applyFill="1" applyBorder="1" applyAlignment="1">
      <alignment horizontal="center" vertical="center" wrapText="1"/>
    </xf>
    <xf numFmtId="0" fontId="0" fillId="9" borderId="16" xfId="8" applyFont="1" applyAlignment="1">
      <alignment horizontal="left" vertical="center" wrapText="1"/>
    </xf>
    <xf numFmtId="0" fontId="0" fillId="8" borderId="23" xfId="0" applyFill="1" applyBorder="1" applyAlignment="1">
      <alignment horizontal="center" wrapText="1"/>
    </xf>
    <xf numFmtId="0" fontId="0" fillId="9" borderId="16" xfId="8" applyFont="1" applyAlignment="1">
      <alignment horizontal="center" vertical="center" wrapText="1"/>
    </xf>
    <xf numFmtId="0" fontId="0" fillId="9" borderId="16" xfId="8" applyFont="1" applyAlignment="1">
      <alignment horizontal="center" vertical="center"/>
    </xf>
    <xf numFmtId="0" fontId="0" fillId="3" borderId="6" xfId="47" applyFont="1" applyBorder="1" applyAlignment="1">
      <alignment horizontal="center"/>
    </xf>
    <xf numFmtId="0" fontId="0" fillId="3" borderId="6" xfId="47" applyBorder="1" applyAlignment="1">
      <alignment horizontal="center"/>
    </xf>
    <xf numFmtId="0" fontId="0" fillId="8" borderId="9" xfId="0" applyFill="1" applyBorder="1" applyAlignment="1">
      <alignment horizontal="center"/>
    </xf>
    <xf numFmtId="0" fontId="0" fillId="8" borderId="10" xfId="0" applyFill="1" applyBorder="1" applyAlignment="1">
      <alignment horizontal="center"/>
    </xf>
    <xf numFmtId="0" fontId="6" fillId="10" borderId="0" xfId="27" applyFont="1" applyAlignment="1">
      <alignment horizontal="center"/>
    </xf>
    <xf numFmtId="0" fontId="0" fillId="0" borderId="22" xfId="49" applyBorder="1" applyAlignment="1">
      <alignment horizontal="left"/>
    </xf>
    <xf numFmtId="0" fontId="2" fillId="5" borderId="6" xfId="16" applyFont="1" applyBorder="1" applyAlignment="1">
      <alignment horizontal="left" vertical="top" wrapText="1"/>
      <protection locked="0"/>
    </xf>
    <xf numFmtId="49" fontId="3" fillId="5" borderId="1" xfId="16" applyNumberFormat="1" applyAlignment="1">
      <protection locked="0"/>
    </xf>
    <xf numFmtId="0" fontId="0" fillId="0" borderId="0" xfId="49" applyFont="1">
      <alignment horizontal="center"/>
    </xf>
    <xf numFmtId="0" fontId="2" fillId="5" borderId="1" xfId="16" applyFont="1" applyAlignment="1">
      <protection locked="0"/>
    </xf>
    <xf numFmtId="3" fontId="3" fillId="5" borderId="1" xfId="16" applyNumberFormat="1" applyAlignment="1">
      <protection locked="0"/>
    </xf>
    <xf numFmtId="0" fontId="3" fillId="5" borderId="3" xfId="16" applyBorder="1" applyAlignment="1">
      <protection locked="0"/>
    </xf>
    <xf numFmtId="0" fontId="7" fillId="5" borderId="1" xfId="16" applyFont="1" applyAlignment="1">
      <protection locked="0"/>
    </xf>
    <xf numFmtId="0" fontId="0" fillId="3" borderId="0" xfId="47" applyFont="1" applyAlignment="1"/>
    <xf numFmtId="0" fontId="0" fillId="3" borderId="32" xfId="47" applyFont="1" applyBorder="1" applyAlignment="1">
      <alignment horizontal="center"/>
    </xf>
    <xf numFmtId="0" fontId="0" fillId="9" borderId="33" xfId="8" applyFont="1" applyBorder="1" applyAlignment="1">
      <alignment horizontal="left" vertical="top" wrapText="1"/>
    </xf>
    <xf numFmtId="0" fontId="0" fillId="9" borderId="34" xfId="8" applyFont="1" applyBorder="1" applyAlignment="1">
      <alignment horizontal="left" vertical="top" wrapText="1"/>
    </xf>
    <xf numFmtId="0" fontId="3" fillId="5" borderId="1" xfId="16" applyAlignment="1">
      <alignment vertical="top" wrapText="1"/>
      <protection locked="0"/>
    </xf>
    <xf numFmtId="0" fontId="0" fillId="9" borderId="0" xfId="8" applyFont="1" applyBorder="1" applyAlignment="1">
      <alignment horizontal="left" vertical="top" wrapText="1"/>
    </xf>
    <xf numFmtId="0" fontId="0" fillId="9" borderId="35" xfId="8" applyFont="1" applyBorder="1" applyAlignment="1">
      <alignment horizontal="left" vertical="top" wrapText="1"/>
    </xf>
    <xf numFmtId="0" fontId="0" fillId="9" borderId="32" xfId="8" applyFont="1" applyBorder="1" applyAlignment="1">
      <alignment horizontal="left" vertical="top" wrapText="1"/>
    </xf>
    <xf numFmtId="0" fontId="0" fillId="9" borderId="36" xfId="8" applyFont="1" applyBorder="1" applyAlignment="1">
      <alignment horizontal="left" vertical="top" wrapText="1"/>
    </xf>
    <xf numFmtId="0" fontId="3" fillId="9" borderId="16" xfId="8" applyFont="1" applyAlignment="1">
      <alignment horizontal="left" vertical="top" wrapText="1"/>
    </xf>
    <xf numFmtId="0" fontId="3" fillId="5" borderId="1" xfId="16" applyNumberFormat="1" applyAlignment="1">
      <protection locked="0"/>
    </xf>
    <xf numFmtId="0" fontId="0" fillId="9" borderId="34" xfId="8" applyFont="1" applyBorder="1" applyAlignment="1">
      <alignment horizontal="left" vertical="top"/>
    </xf>
    <xf numFmtId="0" fontId="0" fillId="9" borderId="35" xfId="8" applyFont="1" applyBorder="1" applyAlignment="1">
      <alignment horizontal="left" vertical="top"/>
    </xf>
    <xf numFmtId="0" fontId="0" fillId="9" borderId="36" xfId="8" applyFont="1" applyBorder="1" applyAlignment="1">
      <alignment horizontal="left" vertical="top"/>
    </xf>
    <xf numFmtId="0" fontId="0" fillId="3" borderId="0" xfId="47" applyAlignment="1">
      <alignment horizontal="center" vertical="center"/>
    </xf>
    <xf numFmtId="0" fontId="8" fillId="9" borderId="16" xfId="8" applyFont="1" applyAlignment="1">
      <alignment horizontal="left" vertical="top" wrapText="1"/>
    </xf>
    <xf numFmtId="0" fontId="3" fillId="5" borderId="17" xfId="16" applyBorder="1" applyAlignment="1">
      <alignment horizontal="center"/>
      <protection locked="0"/>
    </xf>
    <xf numFmtId="0" fontId="3" fillId="5" borderId="6" xfId="16" applyBorder="1" applyAlignment="1">
      <alignment horizontal="center"/>
      <protection locked="0"/>
    </xf>
    <xf numFmtId="0" fontId="3" fillId="5" borderId="19" xfId="16" applyBorder="1" applyAlignment="1">
      <alignment horizontal="center"/>
      <protection locked="0"/>
    </xf>
    <xf numFmtId="0" fontId="3" fillId="5" borderId="8" xfId="16" applyBorder="1" applyAlignment="1">
      <alignment horizontal="center"/>
      <protection locked="0"/>
    </xf>
    <xf numFmtId="0" fontId="3" fillId="5" borderId="0" xfId="16" applyBorder="1" applyAlignment="1">
      <alignment horizontal="center"/>
      <protection locked="0"/>
    </xf>
    <xf numFmtId="0" fontId="3" fillId="5" borderId="2" xfId="16" applyBorder="1" applyAlignment="1">
      <alignment horizontal="center"/>
      <protection locked="0"/>
    </xf>
    <xf numFmtId="0" fontId="3" fillId="5" borderId="18" xfId="16" applyBorder="1" applyAlignment="1">
      <alignment horizontal="center"/>
      <protection locked="0"/>
    </xf>
    <xf numFmtId="0" fontId="3" fillId="5" borderId="12" xfId="16" applyBorder="1" applyAlignment="1">
      <alignment horizontal="center"/>
      <protection locked="0"/>
    </xf>
    <xf numFmtId="0" fontId="3" fillId="5" borderId="20" xfId="16" applyBorder="1" applyAlignment="1">
      <alignment horizontal="center"/>
      <protection locked="0"/>
    </xf>
    <xf numFmtId="0" fontId="0" fillId="3" borderId="0" xfId="47" applyFont="1" applyAlignment="1">
      <alignment horizontal="center" vertical="center"/>
    </xf>
    <xf numFmtId="0" fontId="0" fillId="0" borderId="37" xfId="49" applyBorder="1" applyAlignment="1">
      <alignment horizontal="left"/>
    </xf>
    <xf numFmtId="0" fontId="4" fillId="7" borderId="7" xfId="18" applyBorder="1" applyAlignment="1">
      <alignment horizontal="center"/>
    </xf>
    <xf numFmtId="0" fontId="0" fillId="0" borderId="37" xfId="49" applyBorder="1">
      <alignment horizontal="center"/>
    </xf>
    <xf numFmtId="0" fontId="0" fillId="0" borderId="38" xfId="49" applyBorder="1" applyAlignment="1">
      <alignment horizontal="left"/>
    </xf>
    <xf numFmtId="0" fontId="4" fillId="7" borderId="5" xfId="18" applyBorder="1" applyAlignment="1">
      <alignment horizontal="center"/>
    </xf>
    <xf numFmtId="0" fontId="0" fillId="0" borderId="38" xfId="49" applyBorder="1">
      <alignment horizontal="center"/>
    </xf>
    <xf numFmtId="0" fontId="8" fillId="9" borderId="16" xfId="8" applyFont="1" applyAlignment="1" quotePrefix="1">
      <alignment horizontal="left" vertical="top" wrapText="1"/>
    </xf>
    <xf numFmtId="0" fontId="0" fillId="9" borderId="33" xfId="8" applyFont="1" applyBorder="1" applyAlignment="1" quotePrefix="1">
      <alignment horizontal="left" vertical="top" wrapText="1"/>
    </xf>
    <xf numFmtId="0" fontId="0" fillId="9" borderId="16" xfId="8" applyFont="1" applyAlignment="1" quotePrefix="1">
      <alignment horizontal="left" vertical="top" wrapText="1"/>
    </xf>
    <xf numFmtId="0" fontId="3" fillId="9" borderId="16" xfId="8" applyFont="1" applyAlignment="1" quotePrefix="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标题行列" xfId="49"/>
  </cellStyles>
  <dxfs count="7">
    <dxf>
      <font>
        <color rgb="FF9C0006"/>
      </font>
      <fill>
        <patternFill patternType="solid">
          <bgColor rgb="FFFFC7CE"/>
        </patternFill>
      </fill>
    </dxf>
    <dxf>
      <font>
        <color theme="0"/>
      </font>
      <fill>
        <patternFill patternType="none"/>
      </fill>
      <border>
        <left/>
        <right/>
        <top/>
        <bottom/>
      </border>
    </dxf>
    <dxf>
      <font>
        <color theme="0"/>
      </font>
      <fill>
        <patternFill patternType="none"/>
      </fill>
    </dxf>
    <dxf>
      <font>
        <color theme="0"/>
      </font>
      <fill>
        <patternFill patternType="solid">
          <bgColor theme="0"/>
        </patternFill>
      </fill>
      <border>
        <left/>
        <right/>
        <top/>
        <bottom/>
      </border>
    </dxf>
    <dxf>
      <font>
        <color theme="0"/>
      </font>
      <fill>
        <patternFill patternType="solid">
          <bgColor theme="0"/>
        </patternFill>
      </fill>
    </dxf>
    <dxf>
      <font>
        <color theme="2" tint="-0.249946592608417"/>
      </font>
      <fill>
        <patternFill patternType="solid">
          <fgColor theme="2" tint="-0.249946592608417"/>
          <bgColor theme="2" tint="-0.0999481185338908"/>
        </patternFill>
      </fill>
    </dxf>
    <dxf>
      <font>
        <color theme="2" tint="-0.0999481185338908"/>
      </font>
      <fill>
        <patternFill patternType="solid">
          <bgColor theme="2" tint="-0.0999481185338908"/>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eetMetadata" Target="metadata.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
        <c:varyColors val="0"/>
        <c:ser>
          <c:idx val="0"/>
          <c:order val="0"/>
          <c:tx>
            <c:strRef>
              <c:f>"APPS1"</c:f>
              <c:strCache>
                <c:ptCount val="1"/>
                <c:pt idx="0">
                  <c:v>APPS1</c:v>
                </c:pt>
              </c:strCache>
            </c:strRef>
          </c:tx>
          <c:spPr>
            <a:ln w="19050" cap="rnd">
              <a:solidFill>
                <a:schemeClr val="accent1"/>
              </a:solidFill>
              <a:round/>
            </a:ln>
            <a:effectLst/>
          </c:spPr>
          <c:marker>
            <c:symbol val="none"/>
          </c:marker>
          <c:dLbls>
            <c:delete val="1"/>
          </c:dLbls>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Security'!$B$7:$B$12</c:f>
              <c:numCache>
                <c:formatCode>General</c:formatCode>
                <c:ptCount val="6"/>
              </c:numCache>
            </c:numRef>
          </c:yVal>
          <c:smooth val="0"/>
        </c:ser>
        <c:ser>
          <c:idx val="1"/>
          <c:order val="1"/>
          <c:tx>
            <c:strRef>
              <c:f>"APPS2"</c:f>
              <c:strCache>
                <c:ptCount val="1"/>
                <c:pt idx="0">
                  <c:v>APPS2</c:v>
                </c:pt>
              </c:strCache>
            </c:strRef>
          </c:tx>
          <c:spPr>
            <a:ln w="19050" cap="rnd">
              <a:solidFill>
                <a:schemeClr val="accent2"/>
              </a:solidFill>
              <a:round/>
            </a:ln>
            <a:effectLst/>
          </c:spPr>
          <c:marker>
            <c:symbol val="none"/>
          </c:marker>
          <c:dLbls>
            <c:delete val="1"/>
          </c:dLbls>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Security'!$D$7:$D$12</c:f>
              <c:numCache>
                <c:formatCode>General</c:formatCode>
                <c:ptCount val="6"/>
              </c:numCache>
            </c:numRef>
          </c:yVal>
          <c:smooth val="0"/>
        </c:ser>
        <c:dLbls>
          <c:showLegendKey val="0"/>
          <c:showVal val="0"/>
          <c:showCatName val="0"/>
          <c:showSerName val="0"/>
          <c:showPercent val="0"/>
          <c:showBubbleSize val="0"/>
        </c:dLbls>
        <c:axId val="664187487"/>
        <c:axId val="664192479"/>
      </c:scatterChart>
      <c:valAx>
        <c:axId val="66418748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踏板行程 </a:t>
                </a:r>
                <a:r>
                  <a:rPr lang="en-US" altLang="zh-CN"/>
                  <a:t>travel</a:t>
                </a:r>
                <a:r>
                  <a:rPr lang="en-US"/>
                  <a:t>[%]</a:t>
                </a:r>
                <a:endParaRPr lang="en-US"/>
              </a:p>
            </c:rich>
          </c:tx>
          <c:layout/>
          <c:overlay val="0"/>
          <c:spPr>
            <a:noFill/>
            <a:ln>
              <a:noFill/>
            </a:ln>
            <a:effectLst/>
          </c:sp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4192479"/>
        <c:crosses val="autoZero"/>
        <c:crossBetween val="midCat"/>
      </c:valAx>
      <c:valAx>
        <c:axId val="66419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传感器输出 </a:t>
                </a:r>
                <a:r>
                  <a:rPr lang="en-US" altLang="zh-CN"/>
                  <a:t>Output </a:t>
                </a:r>
                <a:r>
                  <a:rPr lang="en-US" baseline="0"/>
                  <a:t>[V]</a:t>
                </a:r>
                <a:endParaRPr lang="en-US"/>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4187487"/>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152649</xdr:colOff>
      <xdr:row>1</xdr:row>
      <xdr:rowOff>152400</xdr:rowOff>
    </xdr:from>
    <xdr:to>
      <xdr:col>10</xdr:col>
      <xdr:colOff>152151</xdr:colOff>
      <xdr:row>26</xdr:row>
      <xdr:rowOff>180263</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52400" y="330200"/>
          <a:ext cx="7009765" cy="102190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24</xdr:col>
      <xdr:colOff>76708</xdr:colOff>
      <xdr:row>10</xdr:row>
      <xdr:rowOff>152259</xdr:rowOff>
    </xdr:from>
    <xdr:to>
      <xdr:col>32</xdr:col>
      <xdr:colOff>94741</xdr:colOff>
      <xdr:row>31</xdr:row>
      <xdr:rowOff>161256</xdr:rowOff>
    </xdr:to>
    <xdr:pic>
      <xdr:nvPicPr>
        <xdr:cNvPr id="3" name="图片 2"/>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8192750" y="2583815"/>
          <a:ext cx="7333615" cy="374269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13</xdr:row>
      <xdr:rowOff>95249</xdr:rowOff>
    </xdr:from>
    <xdr:to>
      <xdr:col>6</xdr:col>
      <xdr:colOff>9525</xdr:colOff>
      <xdr:row>34</xdr:row>
      <xdr:rowOff>19049</xdr:rowOff>
    </xdr:to>
    <xdr:graphicFrame>
      <xdr:nvGraphicFramePr>
        <xdr:cNvPr id="2" name="Chart 1"/>
        <xdr:cNvGraphicFramePr/>
      </xdr:nvGraphicFramePr>
      <xdr:xfrm>
        <a:off x="0" y="2580640"/>
        <a:ext cx="5876925" cy="3657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9"/>
  <sheetViews>
    <sheetView topLeftCell="A6" workbookViewId="0">
      <selection activeCell="H18" sqref="H18"/>
    </sheetView>
  </sheetViews>
  <sheetFormatPr defaultColWidth="9" defaultRowHeight="14"/>
  <cols>
    <col min="8" max="8" width="46.75" customWidth="1"/>
    <col min="10" max="10" width="35.625" customWidth="1"/>
    <col min="11" max="11" width="21.875" customWidth="1"/>
    <col min="13" max="13" width="10.875" customWidth="1"/>
    <col min="14" max="14" width="12.875" customWidth="1"/>
  </cols>
  <sheetData>
    <row r="1" s="50" customFormat="1" ht="24.95" customHeight="1" spans="1:14">
      <c r="A1" s="128" t="s">
        <v>0</v>
      </c>
      <c r="B1" s="167"/>
      <c r="C1" s="167"/>
      <c r="D1" s="167"/>
      <c r="E1" s="167"/>
      <c r="F1" s="167"/>
      <c r="G1" s="167"/>
      <c r="H1" s="167"/>
      <c r="J1" s="128" t="s">
        <v>1</v>
      </c>
      <c r="K1" s="128"/>
      <c r="M1" s="128" t="s">
        <v>2</v>
      </c>
      <c r="N1" s="128"/>
    </row>
    <row r="2" ht="24.95" customHeight="1" spans="1:14">
      <c r="A2" s="185" t="s">
        <v>3</v>
      </c>
      <c r="B2" s="168"/>
      <c r="C2" s="168"/>
      <c r="D2" s="168"/>
      <c r="E2" s="168"/>
      <c r="F2" s="168"/>
      <c r="G2" s="168"/>
      <c r="H2" s="168"/>
      <c r="J2" s="5" t="s">
        <v>4</v>
      </c>
      <c r="K2" s="6" t="str">
        <f ca="1">'规格书 Datasheet'!B1</f>
        <v>BLANK</v>
      </c>
      <c r="M2" s="8" t="str">
        <f ca="1">IF(COUNTIF(K2:K11,"="&amp;IncompleteText),IncompleteText,IF(COUNTIF(K2:K11,"="&amp;ErrorText),ErrorText,OKText))</f>
        <v>BLANK</v>
      </c>
      <c r="N2" s="8"/>
    </row>
    <row r="3" ht="24.95" customHeight="1" spans="1:14">
      <c r="A3" s="168"/>
      <c r="B3" s="168"/>
      <c r="C3" s="168"/>
      <c r="D3" s="168"/>
      <c r="E3" s="168"/>
      <c r="F3" s="168"/>
      <c r="G3" s="168"/>
      <c r="H3" s="168"/>
      <c r="J3" s="5" t="s">
        <v>5</v>
      </c>
      <c r="K3" s="6" t="str">
        <f ca="1">'驱动系统原理图 TS Schematics'!$B$1</f>
        <v>BLANK</v>
      </c>
      <c r="M3" s="8"/>
      <c r="N3" s="8"/>
    </row>
    <row r="4" ht="24.95" customHeight="1" spans="1:14">
      <c r="A4" s="168"/>
      <c r="B4" s="168"/>
      <c r="C4" s="168"/>
      <c r="D4" s="168"/>
      <c r="E4" s="168"/>
      <c r="F4" s="168"/>
      <c r="G4" s="168"/>
      <c r="H4" s="168"/>
      <c r="J4" s="5" t="s">
        <v>6</v>
      </c>
      <c r="K4" s="6" t="str">
        <f ca="1">'电池箱 Accumulator'!B1</f>
        <v>BLANK</v>
      </c>
      <c r="M4" s="8"/>
      <c r="N4" s="8"/>
    </row>
    <row r="5" ht="24.95" customHeight="1" spans="1:11">
      <c r="A5" s="168"/>
      <c r="B5" s="168"/>
      <c r="C5" s="168"/>
      <c r="D5" s="168"/>
      <c r="E5" s="168"/>
      <c r="F5" s="168"/>
      <c r="G5" s="168"/>
      <c r="H5" s="168"/>
      <c r="J5" s="5" t="s">
        <v>7</v>
      </c>
      <c r="K5" s="6" t="str">
        <f ca="1">'预充电放电 PrechargeDischarge'!B1</f>
        <v>BLANK</v>
      </c>
    </row>
    <row r="6" ht="24.95" customHeight="1" spans="1:11">
      <c r="A6" s="168"/>
      <c r="B6" s="168"/>
      <c r="C6" s="168"/>
      <c r="D6" s="168"/>
      <c r="E6" s="168"/>
      <c r="F6" s="168"/>
      <c r="G6" s="168"/>
      <c r="H6" s="168"/>
      <c r="J6" s="5" t="s">
        <v>8</v>
      </c>
      <c r="K6" s="6" t="str">
        <f ca="1">'充电 Charging'!B1</f>
        <v>BLANK</v>
      </c>
    </row>
    <row r="7" ht="24.95" customHeight="1" spans="1:11">
      <c r="A7" s="168"/>
      <c r="B7" s="168"/>
      <c r="C7" s="168"/>
      <c r="D7" s="168"/>
      <c r="E7" s="168"/>
      <c r="F7" s="168"/>
      <c r="G7" s="168"/>
      <c r="H7" s="168"/>
      <c r="J7" s="5" t="s">
        <v>9</v>
      </c>
      <c r="K7" s="6" t="str">
        <f ca="1">'安全系统 Shutdown circuit'!B1</f>
        <v>BLANK</v>
      </c>
    </row>
    <row r="8" ht="24.95" customHeight="1" spans="1:11">
      <c r="A8" s="168"/>
      <c r="B8" s="168"/>
      <c r="C8" s="168"/>
      <c r="D8" s="168"/>
      <c r="E8" s="168"/>
      <c r="F8" s="168"/>
      <c r="G8" s="168"/>
      <c r="H8" s="168"/>
      <c r="J8" s="5" t="s">
        <v>10</v>
      </c>
      <c r="K8" s="6" t="str">
        <f ca="1">'扭矩指令 Torque Security'!B1</f>
        <v>BLANK</v>
      </c>
    </row>
    <row r="9" ht="24.95" customHeight="1" spans="1:11">
      <c r="A9" s="168"/>
      <c r="B9" s="168"/>
      <c r="C9" s="168"/>
      <c r="D9" s="168"/>
      <c r="E9" s="168"/>
      <c r="F9" s="168"/>
      <c r="G9" s="168"/>
      <c r="H9" s="168"/>
      <c r="J9" s="5" t="s">
        <v>11</v>
      </c>
      <c r="K9" s="6" t="str">
        <f ca="1">'其他 Others'!B1</f>
        <v>BLANK</v>
      </c>
    </row>
    <row r="10" ht="24.95" customHeight="1" spans="1:11">
      <c r="A10" s="168"/>
      <c r="B10" s="168"/>
      <c r="C10" s="168"/>
      <c r="D10" s="168"/>
      <c r="E10" s="168"/>
      <c r="F10" s="168"/>
      <c r="G10" s="168"/>
      <c r="H10" s="168"/>
      <c r="J10" s="5" t="s">
        <v>12</v>
      </c>
      <c r="K10" s="6" t="str">
        <f ca="1">'接地 Grounding'!B1</f>
        <v>BLANK</v>
      </c>
    </row>
    <row r="11" ht="24.95" customHeight="1" spans="1:11">
      <c r="A11" s="168"/>
      <c r="B11" s="168"/>
      <c r="C11" s="168"/>
      <c r="D11" s="168"/>
      <c r="E11" s="168"/>
      <c r="F11" s="168"/>
      <c r="G11" s="168"/>
      <c r="H11" s="168"/>
      <c r="J11" s="5" t="s">
        <v>13</v>
      </c>
      <c r="K11" s="6" t="str">
        <f>O12</f>
        <v>BLANK</v>
      </c>
    </row>
    <row r="12" ht="24.95" customHeight="1" spans="1:15">
      <c r="A12" s="168"/>
      <c r="B12" s="168"/>
      <c r="C12" s="168"/>
      <c r="D12" s="168"/>
      <c r="E12" s="168"/>
      <c r="F12" s="168"/>
      <c r="G12" s="168"/>
      <c r="H12" s="168"/>
      <c r="J12" s="178" t="s">
        <v>13</v>
      </c>
      <c r="K12" s="167"/>
      <c r="L12" s="167"/>
      <c r="M12" s="167"/>
      <c r="N12" s="167"/>
      <c r="O12" s="6" t="str">
        <f>IF(COUNTIF(O13:O15,"="&amp;IncompleteText),IncompleteText,IF(COUNTIF(O13:O15,"="&amp;ErrorText),ErrorText,OKText))</f>
        <v>BLANK</v>
      </c>
    </row>
    <row r="13" ht="24.95" customHeight="1" spans="1:15">
      <c r="A13" s="168"/>
      <c r="B13" s="168"/>
      <c r="C13" s="168"/>
      <c r="D13" s="168"/>
      <c r="E13" s="168"/>
      <c r="F13" s="168"/>
      <c r="G13" s="168"/>
      <c r="H13" s="168"/>
      <c r="J13" s="5" t="s">
        <v>14</v>
      </c>
      <c r="K13" s="46"/>
      <c r="L13" s="46"/>
      <c r="M13" s="46"/>
      <c r="N13" s="46"/>
      <c r="O13" s="6" t="str">
        <f>IF(ISBLANK(K13),IncompleteText,OKText)</f>
        <v>BLANK</v>
      </c>
    </row>
    <row r="14" ht="24.95" customHeight="1" spans="1:15">
      <c r="A14" s="168"/>
      <c r="B14" s="168"/>
      <c r="C14" s="168"/>
      <c r="D14" s="168"/>
      <c r="E14" s="168"/>
      <c r="F14" s="168"/>
      <c r="G14" s="168"/>
      <c r="H14" s="168"/>
      <c r="J14" s="5" t="s">
        <v>15</v>
      </c>
      <c r="K14" s="46"/>
      <c r="L14" s="46"/>
      <c r="M14" s="46"/>
      <c r="N14" s="46"/>
      <c r="O14" s="6" t="str">
        <f>IF(ISBLANK(K14),IncompleteText,OKText)</f>
        <v>BLANK</v>
      </c>
    </row>
    <row r="15" ht="24.95" customHeight="1" spans="1:15">
      <c r="A15" s="168"/>
      <c r="B15" s="168"/>
      <c r="C15" s="168"/>
      <c r="D15" s="168"/>
      <c r="E15" s="168"/>
      <c r="F15" s="168"/>
      <c r="G15" s="168"/>
      <c r="H15" s="168"/>
      <c r="J15" s="5" t="s">
        <v>16</v>
      </c>
      <c r="K15" s="46"/>
      <c r="L15" s="46"/>
      <c r="M15" s="46"/>
      <c r="N15" s="46"/>
      <c r="O15" s="6" t="str">
        <f>IF(ISBLANK(K15),IncompleteText,OKText)</f>
        <v>BLANK</v>
      </c>
    </row>
    <row r="16" ht="24.95" customHeight="1" spans="1:8">
      <c r="A16" s="168"/>
      <c r="B16" s="168"/>
      <c r="C16" s="168"/>
      <c r="D16" s="168"/>
      <c r="E16" s="168"/>
      <c r="F16" s="168"/>
      <c r="G16" s="168"/>
      <c r="H16" s="168"/>
    </row>
    <row r="17" ht="24.95" customHeight="1" spans="1:12">
      <c r="A17" s="168"/>
      <c r="B17" s="168"/>
      <c r="C17" s="168"/>
      <c r="D17" s="168"/>
      <c r="E17" s="168"/>
      <c r="F17" s="168"/>
      <c r="G17" s="168"/>
      <c r="H17" s="168"/>
      <c r="J17" s="179" t="s">
        <v>17</v>
      </c>
      <c r="K17" s="180">
        <f>MaxTSVoltage</f>
        <v>0</v>
      </c>
      <c r="L17" s="181" t="s">
        <v>18</v>
      </c>
    </row>
    <row r="18" ht="30" customHeight="1" spans="10:12">
      <c r="J18" s="182" t="s">
        <v>19</v>
      </c>
      <c r="K18" s="183" t="e">
        <f>'电池箱 Accumulator'!U20</f>
        <v>#N/A</v>
      </c>
      <c r="L18" s="184" t="s">
        <v>20</v>
      </c>
    </row>
    <row r="20" spans="1:15">
      <c r="A20" s="68" t="s">
        <v>21</v>
      </c>
      <c r="B20" s="36"/>
      <c r="C20" s="36"/>
      <c r="D20" s="36"/>
      <c r="E20" s="36"/>
      <c r="F20" s="36"/>
      <c r="G20" s="36"/>
      <c r="H20" s="36"/>
      <c r="I20" s="73" t="s">
        <v>22</v>
      </c>
      <c r="J20" s="74"/>
      <c r="K20" s="74"/>
      <c r="L20" s="74"/>
      <c r="M20" s="74"/>
      <c r="N20" s="74"/>
      <c r="O20" s="74"/>
    </row>
    <row r="21" spans="1:15">
      <c r="A21" s="169"/>
      <c r="B21" s="170"/>
      <c r="C21" s="170"/>
      <c r="D21" s="170"/>
      <c r="E21" s="170"/>
      <c r="F21" s="170"/>
      <c r="G21" s="170"/>
      <c r="H21" s="171"/>
      <c r="I21" s="169"/>
      <c r="J21" s="170"/>
      <c r="K21" s="170"/>
      <c r="L21" s="170"/>
      <c r="M21" s="170"/>
      <c r="N21" s="170"/>
      <c r="O21" s="170"/>
    </row>
    <row r="22" spans="1:15">
      <c r="A22" s="172"/>
      <c r="B22" s="173"/>
      <c r="C22" s="173"/>
      <c r="D22" s="173"/>
      <c r="E22" s="173"/>
      <c r="F22" s="173"/>
      <c r="G22" s="173"/>
      <c r="H22" s="174"/>
      <c r="I22" s="172"/>
      <c r="J22" s="173"/>
      <c r="K22" s="173"/>
      <c r="L22" s="173"/>
      <c r="M22" s="173"/>
      <c r="N22" s="173"/>
      <c r="O22" s="173"/>
    </row>
    <row r="23" spans="1:15">
      <c r="A23" s="172"/>
      <c r="B23" s="173"/>
      <c r="C23" s="173"/>
      <c r="D23" s="173"/>
      <c r="E23" s="173"/>
      <c r="F23" s="173"/>
      <c r="G23" s="173"/>
      <c r="H23" s="174"/>
      <c r="I23" s="172"/>
      <c r="J23" s="173"/>
      <c r="K23" s="173"/>
      <c r="L23" s="173"/>
      <c r="M23" s="173"/>
      <c r="N23" s="173"/>
      <c r="O23" s="173"/>
    </row>
    <row r="24" spans="1:15">
      <c r="A24" s="172"/>
      <c r="B24" s="173"/>
      <c r="C24" s="173"/>
      <c r="D24" s="173"/>
      <c r="E24" s="173"/>
      <c r="F24" s="173"/>
      <c r="G24" s="173"/>
      <c r="H24" s="174"/>
      <c r="I24" s="172"/>
      <c r="J24" s="173"/>
      <c r="K24" s="173"/>
      <c r="L24" s="173"/>
      <c r="M24" s="173"/>
      <c r="N24" s="173"/>
      <c r="O24" s="173"/>
    </row>
    <row r="25" spans="1:15">
      <c r="A25" s="172"/>
      <c r="B25" s="173"/>
      <c r="C25" s="173"/>
      <c r="D25" s="173"/>
      <c r="E25" s="173"/>
      <c r="F25" s="173"/>
      <c r="G25" s="173"/>
      <c r="H25" s="174"/>
      <c r="I25" s="172"/>
      <c r="J25" s="173"/>
      <c r="K25" s="173"/>
      <c r="L25" s="173"/>
      <c r="M25" s="173"/>
      <c r="N25" s="173"/>
      <c r="O25" s="173"/>
    </row>
    <row r="26" spans="1:15">
      <c r="A26" s="172"/>
      <c r="B26" s="173"/>
      <c r="C26" s="173"/>
      <c r="D26" s="173"/>
      <c r="E26" s="173"/>
      <c r="F26" s="173"/>
      <c r="G26" s="173"/>
      <c r="H26" s="174"/>
      <c r="I26" s="172"/>
      <c r="J26" s="173"/>
      <c r="K26" s="173"/>
      <c r="L26" s="173"/>
      <c r="M26" s="173"/>
      <c r="N26" s="173"/>
      <c r="O26" s="173"/>
    </row>
    <row r="27" spans="1:15">
      <c r="A27" s="172"/>
      <c r="B27" s="173"/>
      <c r="C27" s="173"/>
      <c r="D27" s="173"/>
      <c r="E27" s="173"/>
      <c r="F27" s="173"/>
      <c r="G27" s="173"/>
      <c r="H27" s="174"/>
      <c r="I27" s="172"/>
      <c r="J27" s="173"/>
      <c r="K27" s="173"/>
      <c r="L27" s="173"/>
      <c r="M27" s="173"/>
      <c r="N27" s="173"/>
      <c r="O27" s="173"/>
    </row>
    <row r="28" spans="1:15">
      <c r="A28" s="172"/>
      <c r="B28" s="173"/>
      <c r="C28" s="173"/>
      <c r="D28" s="173"/>
      <c r="E28" s="173"/>
      <c r="F28" s="173"/>
      <c r="G28" s="173"/>
      <c r="H28" s="174"/>
      <c r="I28" s="172"/>
      <c r="J28" s="173"/>
      <c r="K28" s="173"/>
      <c r="L28" s="173"/>
      <c r="M28" s="173"/>
      <c r="N28" s="173"/>
      <c r="O28" s="173"/>
    </row>
    <row r="29" spans="1:15">
      <c r="A29" s="172"/>
      <c r="B29" s="173"/>
      <c r="C29" s="173"/>
      <c r="D29" s="173"/>
      <c r="E29" s="173"/>
      <c r="F29" s="173"/>
      <c r="G29" s="173"/>
      <c r="H29" s="174"/>
      <c r="I29" s="172"/>
      <c r="J29" s="173"/>
      <c r="K29" s="173"/>
      <c r="L29" s="173"/>
      <c r="M29" s="173"/>
      <c r="N29" s="173"/>
      <c r="O29" s="173"/>
    </row>
    <row r="30" spans="1:15">
      <c r="A30" s="172"/>
      <c r="B30" s="173"/>
      <c r="C30" s="173"/>
      <c r="D30" s="173"/>
      <c r="E30" s="173"/>
      <c r="F30" s="173"/>
      <c r="G30" s="173"/>
      <c r="H30" s="174"/>
      <c r="I30" s="172"/>
      <c r="J30" s="173"/>
      <c r="K30" s="173"/>
      <c r="L30" s="173"/>
      <c r="M30" s="173"/>
      <c r="N30" s="173"/>
      <c r="O30" s="173"/>
    </row>
    <row r="31" spans="1:15">
      <c r="A31" s="172"/>
      <c r="B31" s="173"/>
      <c r="C31" s="173"/>
      <c r="D31" s="173"/>
      <c r="E31" s="173"/>
      <c r="F31" s="173"/>
      <c r="G31" s="173"/>
      <c r="H31" s="174"/>
      <c r="I31" s="172"/>
      <c r="J31" s="173"/>
      <c r="K31" s="173"/>
      <c r="L31" s="173"/>
      <c r="M31" s="173"/>
      <c r="N31" s="173"/>
      <c r="O31" s="173"/>
    </row>
    <row r="32" spans="1:15">
      <c r="A32" s="172"/>
      <c r="B32" s="173"/>
      <c r="C32" s="173"/>
      <c r="D32" s="173"/>
      <c r="E32" s="173"/>
      <c r="F32" s="173"/>
      <c r="G32" s="173"/>
      <c r="H32" s="174"/>
      <c r="I32" s="172"/>
      <c r="J32" s="173"/>
      <c r="K32" s="173"/>
      <c r="L32" s="173"/>
      <c r="M32" s="173"/>
      <c r="N32" s="173"/>
      <c r="O32" s="173"/>
    </row>
    <row r="33" spans="1:15">
      <c r="A33" s="172"/>
      <c r="B33" s="173"/>
      <c r="C33" s="173"/>
      <c r="D33" s="173"/>
      <c r="E33" s="173"/>
      <c r="F33" s="173"/>
      <c r="G33" s="173"/>
      <c r="H33" s="174"/>
      <c r="I33" s="172"/>
      <c r="J33" s="173"/>
      <c r="K33" s="173"/>
      <c r="L33" s="173"/>
      <c r="M33" s="173"/>
      <c r="N33" s="173"/>
      <c r="O33" s="173"/>
    </row>
    <row r="34" spans="1:15">
      <c r="A34" s="172"/>
      <c r="B34" s="173"/>
      <c r="C34" s="173"/>
      <c r="D34" s="173"/>
      <c r="E34" s="173"/>
      <c r="F34" s="173"/>
      <c r="G34" s="173"/>
      <c r="H34" s="174"/>
      <c r="I34" s="172"/>
      <c r="J34" s="173"/>
      <c r="K34" s="173"/>
      <c r="L34" s="173"/>
      <c r="M34" s="173"/>
      <c r="N34" s="173"/>
      <c r="O34" s="173"/>
    </row>
    <row r="35" spans="1:15">
      <c r="A35" s="172"/>
      <c r="B35" s="173"/>
      <c r="C35" s="173"/>
      <c r="D35" s="173"/>
      <c r="E35" s="173"/>
      <c r="F35" s="173"/>
      <c r="G35" s="173"/>
      <c r="H35" s="174"/>
      <c r="I35" s="172"/>
      <c r="J35" s="173"/>
      <c r="K35" s="173"/>
      <c r="L35" s="173"/>
      <c r="M35" s="173"/>
      <c r="N35" s="173"/>
      <c r="O35" s="173"/>
    </row>
    <row r="36" spans="1:15">
      <c r="A36" s="172"/>
      <c r="B36" s="173"/>
      <c r="C36" s="173"/>
      <c r="D36" s="173"/>
      <c r="E36" s="173"/>
      <c r="F36" s="173"/>
      <c r="G36" s="173"/>
      <c r="H36" s="174"/>
      <c r="I36" s="172"/>
      <c r="J36" s="173"/>
      <c r="K36" s="173"/>
      <c r="L36" s="173"/>
      <c r="M36" s="173"/>
      <c r="N36" s="173"/>
      <c r="O36" s="173"/>
    </row>
    <row r="37" spans="1:15">
      <c r="A37" s="172"/>
      <c r="B37" s="173"/>
      <c r="C37" s="173"/>
      <c r="D37" s="173"/>
      <c r="E37" s="173"/>
      <c r="F37" s="173"/>
      <c r="G37" s="173"/>
      <c r="H37" s="174"/>
      <c r="I37" s="172"/>
      <c r="J37" s="173"/>
      <c r="K37" s="173"/>
      <c r="L37" s="173"/>
      <c r="M37" s="173"/>
      <c r="N37" s="173"/>
      <c r="O37" s="173"/>
    </row>
    <row r="38" spans="1:15">
      <c r="A38" s="172"/>
      <c r="B38" s="173"/>
      <c r="C38" s="173"/>
      <c r="D38" s="173"/>
      <c r="E38" s="173"/>
      <c r="F38" s="173"/>
      <c r="G38" s="173"/>
      <c r="H38" s="174"/>
      <c r="I38" s="172"/>
      <c r="J38" s="173"/>
      <c r="K38" s="173"/>
      <c r="L38" s="173"/>
      <c r="M38" s="173"/>
      <c r="N38" s="173"/>
      <c r="O38" s="173"/>
    </row>
    <row r="39" spans="1:15">
      <c r="A39" s="172"/>
      <c r="B39" s="173"/>
      <c r="C39" s="173"/>
      <c r="D39" s="173"/>
      <c r="E39" s="173"/>
      <c r="F39" s="173"/>
      <c r="G39" s="173"/>
      <c r="H39" s="174"/>
      <c r="I39" s="172"/>
      <c r="J39" s="173"/>
      <c r="K39" s="173"/>
      <c r="L39" s="173"/>
      <c r="M39" s="173"/>
      <c r="N39" s="173"/>
      <c r="O39" s="173"/>
    </row>
    <row r="40" spans="1:15">
      <c r="A40" s="172"/>
      <c r="B40" s="173"/>
      <c r="C40" s="173"/>
      <c r="D40" s="173"/>
      <c r="E40" s="173"/>
      <c r="F40" s="173"/>
      <c r="G40" s="173"/>
      <c r="H40" s="174"/>
      <c r="I40" s="172"/>
      <c r="J40" s="173"/>
      <c r="K40" s="173"/>
      <c r="L40" s="173"/>
      <c r="M40" s="173"/>
      <c r="N40" s="173"/>
      <c r="O40" s="173"/>
    </row>
    <row r="41" spans="1:15">
      <c r="A41" s="172"/>
      <c r="B41" s="173"/>
      <c r="C41" s="173"/>
      <c r="D41" s="173"/>
      <c r="E41" s="173"/>
      <c r="F41" s="173"/>
      <c r="G41" s="173"/>
      <c r="H41" s="174"/>
      <c r="I41" s="172"/>
      <c r="J41" s="173"/>
      <c r="K41" s="173"/>
      <c r="L41" s="173"/>
      <c r="M41" s="173"/>
      <c r="N41" s="173"/>
      <c r="O41" s="173"/>
    </row>
    <row r="42" spans="1:15">
      <c r="A42" s="172"/>
      <c r="B42" s="173"/>
      <c r="C42" s="173"/>
      <c r="D42" s="173"/>
      <c r="E42" s="173"/>
      <c r="F42" s="173"/>
      <c r="G42" s="173"/>
      <c r="H42" s="174"/>
      <c r="I42" s="172"/>
      <c r="J42" s="173"/>
      <c r="K42" s="173"/>
      <c r="L42" s="173"/>
      <c r="M42" s="173"/>
      <c r="N42" s="173"/>
      <c r="O42" s="173"/>
    </row>
    <row r="43" spans="1:15">
      <c r="A43" s="172"/>
      <c r="B43" s="173"/>
      <c r="C43" s="173"/>
      <c r="D43" s="173"/>
      <c r="E43" s="173"/>
      <c r="F43" s="173"/>
      <c r="G43" s="173"/>
      <c r="H43" s="174"/>
      <c r="I43" s="172"/>
      <c r="J43" s="173"/>
      <c r="K43" s="173"/>
      <c r="L43" s="173"/>
      <c r="M43" s="173"/>
      <c r="N43" s="173"/>
      <c r="O43" s="173"/>
    </row>
    <row r="44" spans="1:15">
      <c r="A44" s="172"/>
      <c r="B44" s="173"/>
      <c r="C44" s="173"/>
      <c r="D44" s="173"/>
      <c r="E44" s="173"/>
      <c r="F44" s="173"/>
      <c r="G44" s="173"/>
      <c r="H44" s="174"/>
      <c r="I44" s="172"/>
      <c r="J44" s="173"/>
      <c r="K44" s="173"/>
      <c r="L44" s="173"/>
      <c r="M44" s="173"/>
      <c r="N44" s="173"/>
      <c r="O44" s="173"/>
    </row>
    <row r="45" spans="1:15">
      <c r="A45" s="172"/>
      <c r="B45" s="173"/>
      <c r="C45" s="173"/>
      <c r="D45" s="173"/>
      <c r="E45" s="173"/>
      <c r="F45" s="173"/>
      <c r="G45" s="173"/>
      <c r="H45" s="174"/>
      <c r="I45" s="172"/>
      <c r="J45" s="173"/>
      <c r="K45" s="173"/>
      <c r="L45" s="173"/>
      <c r="M45" s="173"/>
      <c r="N45" s="173"/>
      <c r="O45" s="173"/>
    </row>
    <row r="46" spans="1:15">
      <c r="A46" s="172"/>
      <c r="B46" s="173"/>
      <c r="C46" s="173"/>
      <c r="D46" s="173"/>
      <c r="E46" s="173"/>
      <c r="F46" s="173"/>
      <c r="G46" s="173"/>
      <c r="H46" s="174"/>
      <c r="I46" s="172"/>
      <c r="J46" s="173"/>
      <c r="K46" s="173"/>
      <c r="L46" s="173"/>
      <c r="M46" s="173"/>
      <c r="N46" s="173"/>
      <c r="O46" s="173"/>
    </row>
    <row r="47" spans="1:15">
      <c r="A47" s="172"/>
      <c r="B47" s="173"/>
      <c r="C47" s="173"/>
      <c r="D47" s="173"/>
      <c r="E47" s="173"/>
      <c r="F47" s="173"/>
      <c r="G47" s="173"/>
      <c r="H47" s="174"/>
      <c r="I47" s="172"/>
      <c r="J47" s="173"/>
      <c r="K47" s="173"/>
      <c r="L47" s="173"/>
      <c r="M47" s="173"/>
      <c r="N47" s="173"/>
      <c r="O47" s="173"/>
    </row>
    <row r="48" spans="1:15">
      <c r="A48" s="172"/>
      <c r="B48" s="173"/>
      <c r="C48" s="173"/>
      <c r="D48" s="173"/>
      <c r="E48" s="173"/>
      <c r="F48" s="173"/>
      <c r="G48" s="173"/>
      <c r="H48" s="174"/>
      <c r="I48" s="172"/>
      <c r="J48" s="173"/>
      <c r="K48" s="173"/>
      <c r="L48" s="173"/>
      <c r="M48" s="173"/>
      <c r="N48" s="173"/>
      <c r="O48" s="173"/>
    </row>
    <row r="49" spans="1:15">
      <c r="A49" s="172"/>
      <c r="B49" s="173"/>
      <c r="C49" s="173"/>
      <c r="D49" s="173"/>
      <c r="E49" s="173"/>
      <c r="F49" s="173"/>
      <c r="G49" s="173"/>
      <c r="H49" s="174"/>
      <c r="I49" s="172"/>
      <c r="J49" s="173"/>
      <c r="K49" s="173"/>
      <c r="L49" s="173"/>
      <c r="M49" s="173"/>
      <c r="N49" s="173"/>
      <c r="O49" s="173"/>
    </row>
    <row r="50" spans="1:15">
      <c r="A50" s="172"/>
      <c r="B50" s="173"/>
      <c r="C50" s="173"/>
      <c r="D50" s="173"/>
      <c r="E50" s="173"/>
      <c r="F50" s="173"/>
      <c r="G50" s="173"/>
      <c r="H50" s="174"/>
      <c r="I50" s="172"/>
      <c r="J50" s="173"/>
      <c r="K50" s="173"/>
      <c r="L50" s="173"/>
      <c r="M50" s="173"/>
      <c r="N50" s="173"/>
      <c r="O50" s="173"/>
    </row>
    <row r="51" spans="1:15">
      <c r="A51" s="172"/>
      <c r="B51" s="173"/>
      <c r="C51" s="173"/>
      <c r="D51" s="173"/>
      <c r="E51" s="173"/>
      <c r="F51" s="173"/>
      <c r="G51" s="173"/>
      <c r="H51" s="174"/>
      <c r="I51" s="172"/>
      <c r="J51" s="173"/>
      <c r="K51" s="173"/>
      <c r="L51" s="173"/>
      <c r="M51" s="173"/>
      <c r="N51" s="173"/>
      <c r="O51" s="173"/>
    </row>
    <row r="52" spans="1:15">
      <c r="A52" s="172"/>
      <c r="B52" s="173"/>
      <c r="C52" s="173"/>
      <c r="D52" s="173"/>
      <c r="E52" s="173"/>
      <c r="F52" s="173"/>
      <c r="G52" s="173"/>
      <c r="H52" s="174"/>
      <c r="I52" s="172"/>
      <c r="J52" s="173"/>
      <c r="K52" s="173"/>
      <c r="L52" s="173"/>
      <c r="M52" s="173"/>
      <c r="N52" s="173"/>
      <c r="O52" s="173"/>
    </row>
    <row r="53" spans="1:15">
      <c r="A53" s="172"/>
      <c r="B53" s="173"/>
      <c r="C53" s="173"/>
      <c r="D53" s="173"/>
      <c r="E53" s="173"/>
      <c r="F53" s="173"/>
      <c r="G53" s="173"/>
      <c r="H53" s="174"/>
      <c r="I53" s="172"/>
      <c r="J53" s="173"/>
      <c r="K53" s="173"/>
      <c r="L53" s="173"/>
      <c r="M53" s="173"/>
      <c r="N53" s="173"/>
      <c r="O53" s="173"/>
    </row>
    <row r="54" spans="1:15">
      <c r="A54" s="172"/>
      <c r="B54" s="173"/>
      <c r="C54" s="173"/>
      <c r="D54" s="173"/>
      <c r="E54" s="173"/>
      <c r="F54" s="173"/>
      <c r="G54" s="173"/>
      <c r="H54" s="174"/>
      <c r="I54" s="172"/>
      <c r="J54" s="173"/>
      <c r="K54" s="173"/>
      <c r="L54" s="173"/>
      <c r="M54" s="173"/>
      <c r="N54" s="173"/>
      <c r="O54" s="173"/>
    </row>
    <row r="55" spans="1:15">
      <c r="A55" s="172"/>
      <c r="B55" s="173"/>
      <c r="C55" s="173"/>
      <c r="D55" s="173"/>
      <c r="E55" s="173"/>
      <c r="F55" s="173"/>
      <c r="G55" s="173"/>
      <c r="H55" s="174"/>
      <c r="I55" s="172"/>
      <c r="J55" s="173"/>
      <c r="K55" s="173"/>
      <c r="L55" s="173"/>
      <c r="M55" s="173"/>
      <c r="N55" s="173"/>
      <c r="O55" s="173"/>
    </row>
    <row r="56" spans="1:15">
      <c r="A56" s="172"/>
      <c r="B56" s="173"/>
      <c r="C56" s="173"/>
      <c r="D56" s="173"/>
      <c r="E56" s="173"/>
      <c r="F56" s="173"/>
      <c r="G56" s="173"/>
      <c r="H56" s="174"/>
      <c r="I56" s="172"/>
      <c r="J56" s="173"/>
      <c r="K56" s="173"/>
      <c r="L56" s="173"/>
      <c r="M56" s="173"/>
      <c r="N56" s="173"/>
      <c r="O56" s="173"/>
    </row>
    <row r="57" spans="1:15">
      <c r="A57" s="172"/>
      <c r="B57" s="173"/>
      <c r="C57" s="173"/>
      <c r="D57" s="173"/>
      <c r="E57" s="173"/>
      <c r="F57" s="173"/>
      <c r="G57" s="173"/>
      <c r="H57" s="174"/>
      <c r="I57" s="172"/>
      <c r="J57" s="173"/>
      <c r="K57" s="173"/>
      <c r="L57" s="173"/>
      <c r="M57" s="173"/>
      <c r="N57" s="173"/>
      <c r="O57" s="173"/>
    </row>
    <row r="58" spans="1:15">
      <c r="A58" s="172"/>
      <c r="B58" s="173"/>
      <c r="C58" s="173"/>
      <c r="D58" s="173"/>
      <c r="E58" s="173"/>
      <c r="F58" s="173"/>
      <c r="G58" s="173"/>
      <c r="H58" s="174"/>
      <c r="I58" s="172"/>
      <c r="J58" s="173"/>
      <c r="K58" s="173"/>
      <c r="L58" s="173"/>
      <c r="M58" s="173"/>
      <c r="N58" s="173"/>
      <c r="O58" s="173"/>
    </row>
    <row r="59" spans="1:15">
      <c r="A59" s="175"/>
      <c r="B59" s="176"/>
      <c r="C59" s="176"/>
      <c r="D59" s="176"/>
      <c r="E59" s="176"/>
      <c r="F59" s="176"/>
      <c r="G59" s="176"/>
      <c r="H59" s="177"/>
      <c r="I59" s="175"/>
      <c r="J59" s="176"/>
      <c r="K59" s="176"/>
      <c r="L59" s="176"/>
      <c r="M59" s="176"/>
      <c r="N59" s="176"/>
      <c r="O59" s="176"/>
    </row>
  </sheetData>
  <sheetProtection algorithmName="SHA-512" hashValue="jsqZpmY2wQb2ha7d1edGI/BC9KbQg8q/bfCwVqVd7hqQy1PX3r5hidXMo0SULcmWU6dKFdI9l5H/Wvp2MG4PCQ==" saltValue="O0zaKNFMdvyTJKcBbt+JtA==" spinCount="100000" sheet="1" insertRows="0" insertHyperlinks="0" objects="1" scenarios="1"/>
  <protectedRanges>
    <protectedRange algorithmName="SHA-512" hashValue="HEumj/IYeytq63JLBvRX49CR3RX3/8bNFvS9+OdcTMyo9YHqhnqFSop70G/rP79mV/+vx7XTL33uE0UuVSWHoQ==" saltValue="bOHRk3jMyIJV/W6gTdtXJA==" spinCount="100000" sqref="A21:O59" name="AC1"/>
  </protectedRanges>
  <mergeCells count="13">
    <mergeCell ref="A1:H1"/>
    <mergeCell ref="J1:K1"/>
    <mergeCell ref="M1:N1"/>
    <mergeCell ref="J12:N12"/>
    <mergeCell ref="K13:N13"/>
    <mergeCell ref="K14:N14"/>
    <mergeCell ref="K15:N15"/>
    <mergeCell ref="A20:H20"/>
    <mergeCell ref="I20:O20"/>
    <mergeCell ref="A2:H17"/>
    <mergeCell ref="A21:H59"/>
    <mergeCell ref="I21:O59"/>
    <mergeCell ref="M2:N4"/>
  </mergeCells>
  <conditionalFormatting sqref="M2:N4 K2:K11 O12:O15">
    <cfRule type="cellIs" dxfId="0" priority="1" operator="equal">
      <formula>ErrorText</formula>
    </cfRule>
  </conditionalFormatting>
  <pageMargins left="0.7" right="0.7" top="0.75" bottom="0.75" header="0.3" footer="0.3"/>
  <pageSetup paperSize="9" orientation="portrait"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5"/>
  <sheetViews>
    <sheetView workbookViewId="0">
      <selection activeCell="C34" sqref="C34"/>
    </sheetView>
  </sheetViews>
  <sheetFormatPr defaultColWidth="9" defaultRowHeight="14"/>
  <cols>
    <col min="1" max="1" width="18.5" customWidth="1"/>
    <col min="2" max="2" width="25.875" customWidth="1"/>
    <col min="3" max="3" width="30.375" customWidth="1"/>
    <col min="4" max="4" width="36.125" customWidth="1"/>
    <col min="5" max="5" width="31.375" customWidth="1"/>
    <col min="6" max="6" width="24.75" customWidth="1"/>
    <col min="7" max="7" width="30.5" customWidth="1"/>
    <col min="8" max="8" width="50.625" customWidth="1"/>
    <col min="9" max="9" width="21.625" customWidth="1"/>
    <col min="10" max="10" width="29.5" customWidth="1"/>
    <col min="11" max="11" width="17.375" customWidth="1"/>
    <col min="12" max="12" width="64" customWidth="1"/>
    <col min="15" max="15" width="16.375" hidden="1" customWidth="1"/>
  </cols>
  <sheetData>
    <row r="1" spans="1:2">
      <c r="A1" s="2" t="s">
        <v>23</v>
      </c>
      <c r="B1" s="6" t="str" cm="1">
        <f ca="1" t="array" ref="B1">IF(SUM(COUNTIF(INDIRECT({"$F$2","$I$15","$I$39","$I$54","$I$63","$I$71","$J$93"}),"="&amp;IncompleteText))&gt;0,IncompleteText,IF(SUM(COUNTIF(INDIRECT({"$F$2","$I$15","$I$39","$I$54","$I$63","$I$71","$J$93"}),"="&amp;ErrorText))&gt;0,ErrorText,OKText))</f>
        <v>BLANK</v>
      </c>
    </row>
    <row r="2" spans="1:5">
      <c r="A2" s="68" t="s">
        <v>24</v>
      </c>
      <c r="B2" s="36"/>
      <c r="C2" s="36"/>
      <c r="D2" s="36"/>
      <c r="E2" s="6" t="str">
        <f>IF(COUNTBLANK(C3:C13)&gt;0,IncompleteText,OKText)</f>
        <v>BLANK</v>
      </c>
    </row>
    <row r="3" spans="1:4">
      <c r="A3" s="5" t="s">
        <v>25</v>
      </c>
      <c r="B3" s="5"/>
      <c r="C3" s="20"/>
      <c r="D3" s="20"/>
    </row>
    <row r="4" spans="1:4">
      <c r="A4" s="5" t="s">
        <v>26</v>
      </c>
      <c r="B4" s="5"/>
      <c r="C4" s="20"/>
      <c r="D4" s="20"/>
    </row>
    <row r="5" spans="1:4">
      <c r="A5" s="5" t="s">
        <v>27</v>
      </c>
      <c r="B5" s="5"/>
      <c r="C5" s="147"/>
      <c r="D5" s="2" t="s">
        <v>28</v>
      </c>
    </row>
    <row r="6" spans="1:4">
      <c r="A6" s="5" t="s">
        <v>29</v>
      </c>
      <c r="B6" s="5"/>
      <c r="C6" s="147"/>
      <c r="D6" s="2" t="s">
        <v>18</v>
      </c>
    </row>
    <row r="7" spans="1:4">
      <c r="A7" s="5" t="s">
        <v>30</v>
      </c>
      <c r="B7" s="5"/>
      <c r="C7" s="147"/>
      <c r="D7" s="2" t="s">
        <v>18</v>
      </c>
    </row>
    <row r="8" spans="1:4">
      <c r="A8" s="5" t="s">
        <v>31</v>
      </c>
      <c r="B8" s="5"/>
      <c r="C8" s="147"/>
      <c r="D8" s="2" t="s">
        <v>18</v>
      </c>
    </row>
    <row r="9" spans="1:4">
      <c r="A9" s="5" t="s">
        <v>32</v>
      </c>
      <c r="B9" s="5"/>
      <c r="C9" s="147"/>
      <c r="D9" s="2" t="s">
        <v>20</v>
      </c>
    </row>
    <row r="10" spans="1:4">
      <c r="A10" s="5" t="s">
        <v>33</v>
      </c>
      <c r="B10" s="5"/>
      <c r="C10" s="147"/>
      <c r="D10" s="2" t="s">
        <v>20</v>
      </c>
    </row>
    <row r="11" spans="1:4">
      <c r="A11" s="5" t="s">
        <v>34</v>
      </c>
      <c r="B11" s="5"/>
      <c r="C11" s="147"/>
      <c r="D11" s="2" t="s">
        <v>35</v>
      </c>
    </row>
    <row r="12" spans="1:4">
      <c r="A12" s="5" t="s">
        <v>36</v>
      </c>
      <c r="B12" s="5"/>
      <c r="C12" s="20"/>
      <c r="D12" s="20"/>
    </row>
    <row r="13" spans="1:4">
      <c r="A13" s="5" t="s">
        <v>37</v>
      </c>
      <c r="B13" s="17"/>
      <c r="C13" s="20"/>
      <c r="D13" s="20"/>
    </row>
    <row r="15" spans="1:15">
      <c r="A15" s="7" t="s">
        <v>38</v>
      </c>
      <c r="B15" s="36"/>
      <c r="C15" s="36"/>
      <c r="D15" s="36"/>
      <c r="E15" s="36"/>
      <c r="F15" s="36"/>
      <c r="G15" s="36"/>
      <c r="H15" s="36"/>
      <c r="I15" s="6" t="str">
        <f>IF(COUNTIF(I17:I38,"="&amp;IncompleteText),IncompleteText,IF(COUNTIF(I17:I38,"="&amp;ErrorText),ErrorText,OKText))</f>
        <v>BLANK</v>
      </c>
      <c r="J15" s="153"/>
      <c r="K15" s="154" t="s">
        <v>39</v>
      </c>
      <c r="L15" s="154"/>
      <c r="O15" t="s">
        <v>40</v>
      </c>
    </row>
    <row r="16" ht="14.25" customHeight="1" spans="1:15">
      <c r="A16" s="2" t="s">
        <v>41</v>
      </c>
      <c r="B16" s="2" t="s">
        <v>42</v>
      </c>
      <c r="C16" s="148" t="s">
        <v>43</v>
      </c>
      <c r="D16" s="2" t="s">
        <v>44</v>
      </c>
      <c r="E16" s="2" t="s">
        <v>45</v>
      </c>
      <c r="F16" s="2" t="s">
        <v>46</v>
      </c>
      <c r="G16" s="49" t="s">
        <v>47</v>
      </c>
      <c r="H16" s="49" t="s">
        <v>48</v>
      </c>
      <c r="I16" s="2" t="s">
        <v>49</v>
      </c>
      <c r="J16" s="49" t="s">
        <v>50</v>
      </c>
      <c r="K16" s="186" t="s">
        <v>51</v>
      </c>
      <c r="L16" s="156"/>
      <c r="M16" t="s">
        <v>52</v>
      </c>
      <c r="O16" t="s">
        <v>53</v>
      </c>
    </row>
    <row r="17" spans="1:15">
      <c r="A17" s="149"/>
      <c r="B17" s="147"/>
      <c r="C17" s="28"/>
      <c r="D17" s="70"/>
      <c r="E17" s="28"/>
      <c r="F17" s="28"/>
      <c r="G17" s="28"/>
      <c r="H17" s="28"/>
      <c r="I17" s="6" t="str">
        <f>IF(COUNTBLANK(A17:H17)=8,IncompleteText,IF(AND(COUNTBLANK(A17:H17)=0,F17&gt;=85),IF(AND(H17="其他驱动系统",COUNTBLANK(J17)=1),ErrorText,OKText),ErrorText))</f>
        <v>BLANK</v>
      </c>
      <c r="J17" s="157"/>
      <c r="K17" s="158"/>
      <c r="L17" s="159"/>
      <c r="O17" t="s">
        <v>54</v>
      </c>
    </row>
    <row r="18" spans="1:15">
      <c r="A18" s="28"/>
      <c r="B18" s="147"/>
      <c r="C18" s="28"/>
      <c r="D18" s="28"/>
      <c r="E18" s="28"/>
      <c r="F18" s="28"/>
      <c r="G18" s="28"/>
      <c r="H18" s="28"/>
      <c r="I18" s="6" t="str">
        <f t="shared" ref="I18:I24" si="0">IF(COUNTBLANK(A18:H18)=8,"",IF(AND(COUNTBLANK(A18:H18)=0,F18&gt;=85),IF(AND(H18="其他驱动系统",COUNTBLANK(J18)=1),ErrorText,OKText),ErrorText))</f>
        <v/>
      </c>
      <c r="J18" s="157"/>
      <c r="K18" s="158"/>
      <c r="L18" s="159"/>
      <c r="O18" t="s">
        <v>55</v>
      </c>
    </row>
    <row r="19" spans="1:15">
      <c r="A19" s="28"/>
      <c r="B19" s="147"/>
      <c r="C19" s="28"/>
      <c r="D19" s="28"/>
      <c r="E19" s="28"/>
      <c r="F19" s="28"/>
      <c r="G19" s="28"/>
      <c r="H19" s="28"/>
      <c r="I19" s="6" t="str">
        <f t="shared" si="0"/>
        <v/>
      </c>
      <c r="J19" s="157"/>
      <c r="K19" s="158"/>
      <c r="L19" s="159"/>
      <c r="O19" t="s">
        <v>56</v>
      </c>
    </row>
    <row r="20" spans="1:15">
      <c r="A20" s="28"/>
      <c r="B20" s="147"/>
      <c r="C20" s="28"/>
      <c r="D20" s="28"/>
      <c r="E20" s="28"/>
      <c r="F20" s="28"/>
      <c r="G20" s="28"/>
      <c r="H20" s="28"/>
      <c r="I20" s="6" t="str">
        <f t="shared" si="0"/>
        <v/>
      </c>
      <c r="J20" s="157"/>
      <c r="K20" s="158"/>
      <c r="L20" s="159"/>
      <c r="O20" t="s">
        <v>57</v>
      </c>
    </row>
    <row r="21" spans="1:15">
      <c r="A21" s="28"/>
      <c r="B21" s="147"/>
      <c r="C21" s="28"/>
      <c r="D21" s="28"/>
      <c r="E21" s="28"/>
      <c r="F21" s="28"/>
      <c r="G21" s="28"/>
      <c r="H21" s="28"/>
      <c r="I21" s="6" t="str">
        <f t="shared" si="0"/>
        <v/>
      </c>
      <c r="J21" s="157"/>
      <c r="K21" s="158"/>
      <c r="L21" s="159"/>
      <c r="O21" t="s">
        <v>58</v>
      </c>
    </row>
    <row r="22" spans="1:15">
      <c r="A22" s="28"/>
      <c r="B22" s="147"/>
      <c r="C22" s="28"/>
      <c r="D22" s="28"/>
      <c r="E22" s="28"/>
      <c r="F22" s="28"/>
      <c r="G22" s="28"/>
      <c r="H22" s="28"/>
      <c r="I22" s="6" t="str">
        <f t="shared" si="0"/>
        <v/>
      </c>
      <c r="J22" s="157"/>
      <c r="K22" s="158"/>
      <c r="L22" s="159"/>
      <c r="O22" t="s">
        <v>59</v>
      </c>
    </row>
    <row r="23" spans="1:15">
      <c r="A23" s="28"/>
      <c r="B23" s="147"/>
      <c r="C23" s="28"/>
      <c r="D23" s="28"/>
      <c r="E23" s="28"/>
      <c r="F23" s="28"/>
      <c r="G23" s="28"/>
      <c r="H23" s="28"/>
      <c r="I23" s="6" t="str">
        <f t="shared" si="0"/>
        <v/>
      </c>
      <c r="J23" s="157"/>
      <c r="K23" s="158"/>
      <c r="L23" s="159"/>
      <c r="O23" t="s">
        <v>60</v>
      </c>
    </row>
    <row r="24" spans="1:15">
      <c r="A24" s="28"/>
      <c r="B24" s="147"/>
      <c r="C24" s="28"/>
      <c r="D24" s="28"/>
      <c r="E24" s="28"/>
      <c r="F24" s="28"/>
      <c r="G24" s="28"/>
      <c r="H24" s="28"/>
      <c r="I24" s="6" t="str">
        <f t="shared" si="0"/>
        <v/>
      </c>
      <c r="J24" s="157"/>
      <c r="K24" s="158"/>
      <c r="L24" s="159"/>
      <c r="O24" t="s">
        <v>61</v>
      </c>
    </row>
    <row r="25" spans="1:15">
      <c r="A25" s="28"/>
      <c r="B25" s="147"/>
      <c r="C25" s="28"/>
      <c r="D25" s="28"/>
      <c r="E25" s="28"/>
      <c r="F25" s="28"/>
      <c r="G25" s="28"/>
      <c r="H25" s="28"/>
      <c r="I25" s="6"/>
      <c r="J25" s="157"/>
      <c r="K25" s="158"/>
      <c r="L25" s="159"/>
      <c r="O25" t="s">
        <v>62</v>
      </c>
    </row>
    <row r="26" spans="1:15">
      <c r="A26" s="28"/>
      <c r="B26" s="147"/>
      <c r="C26" s="28"/>
      <c r="D26" s="28"/>
      <c r="E26" s="28"/>
      <c r="F26" s="28"/>
      <c r="G26" s="28"/>
      <c r="H26" s="28"/>
      <c r="I26" s="6" t="str">
        <f t="shared" ref="I26:I38" si="1">IF(COUNTBLANK(A26:H26)=8,"",IF(AND(COUNTBLANK(A26:H26)=0,F26&gt;=85),IF(AND(H26="其他驱动系统",COUNTBLANK(J26)=1),ErrorText,OKText),ErrorText))</f>
        <v/>
      </c>
      <c r="J26" s="157"/>
      <c r="K26" s="158"/>
      <c r="L26" s="159"/>
      <c r="O26" t="s">
        <v>63</v>
      </c>
    </row>
    <row r="27" spans="1:15">
      <c r="A27" s="28"/>
      <c r="B27" s="147"/>
      <c r="C27" s="28"/>
      <c r="D27" s="70"/>
      <c r="E27" s="28"/>
      <c r="F27" s="28"/>
      <c r="G27" s="28"/>
      <c r="H27" s="28"/>
      <c r="I27" s="6" t="str">
        <f t="shared" si="1"/>
        <v/>
      </c>
      <c r="J27" s="157"/>
      <c r="K27" s="158"/>
      <c r="L27" s="159"/>
      <c r="O27" t="s">
        <v>64</v>
      </c>
    </row>
    <row r="28" spans="1:15">
      <c r="A28" s="28"/>
      <c r="B28" s="147"/>
      <c r="C28" s="28"/>
      <c r="D28" s="28"/>
      <c r="E28" s="28"/>
      <c r="F28" s="28"/>
      <c r="G28" s="28"/>
      <c r="H28" s="28"/>
      <c r="I28" s="6" t="str">
        <f t="shared" si="1"/>
        <v/>
      </c>
      <c r="J28" s="157"/>
      <c r="K28" s="158"/>
      <c r="L28" s="159"/>
      <c r="O28" t="s">
        <v>65</v>
      </c>
    </row>
    <row r="29" spans="1:15">
      <c r="A29" s="28"/>
      <c r="B29" s="147"/>
      <c r="C29" s="28"/>
      <c r="D29" s="28"/>
      <c r="E29" s="28"/>
      <c r="F29" s="28"/>
      <c r="G29" s="28"/>
      <c r="H29" s="28"/>
      <c r="I29" s="6" t="str">
        <f t="shared" si="1"/>
        <v/>
      </c>
      <c r="J29" s="157"/>
      <c r="K29" s="158"/>
      <c r="L29" s="159"/>
      <c r="O29" t="s">
        <v>66</v>
      </c>
    </row>
    <row r="30" spans="1:15">
      <c r="A30" s="28"/>
      <c r="B30" s="147"/>
      <c r="C30" s="28"/>
      <c r="D30" s="28"/>
      <c r="E30" s="28"/>
      <c r="F30" s="28"/>
      <c r="G30" s="28"/>
      <c r="H30" s="28"/>
      <c r="I30" s="6" t="str">
        <f t="shared" si="1"/>
        <v/>
      </c>
      <c r="J30" s="157"/>
      <c r="K30" s="158"/>
      <c r="L30" s="159"/>
      <c r="O30" t="s">
        <v>67</v>
      </c>
    </row>
    <row r="31" spans="1:15">
      <c r="A31" s="28"/>
      <c r="B31" s="147"/>
      <c r="C31" s="28"/>
      <c r="D31" s="28"/>
      <c r="E31" s="28"/>
      <c r="F31" s="28"/>
      <c r="G31" s="28"/>
      <c r="H31" s="28"/>
      <c r="I31" s="6" t="str">
        <f t="shared" si="1"/>
        <v/>
      </c>
      <c r="J31" s="157"/>
      <c r="K31" s="158"/>
      <c r="L31" s="159"/>
      <c r="O31" t="s">
        <v>68</v>
      </c>
    </row>
    <row r="32" spans="1:15">
      <c r="A32" s="28"/>
      <c r="B32" s="147"/>
      <c r="C32" s="28"/>
      <c r="D32" s="28"/>
      <c r="E32" s="28"/>
      <c r="F32" s="28"/>
      <c r="G32" s="28"/>
      <c r="H32" s="28"/>
      <c r="I32" s="6" t="str">
        <f t="shared" si="1"/>
        <v/>
      </c>
      <c r="J32" s="157"/>
      <c r="K32" s="158"/>
      <c r="L32" s="159"/>
      <c r="O32" t="s">
        <v>69</v>
      </c>
    </row>
    <row r="33" spans="1:15">
      <c r="A33" s="28"/>
      <c r="B33" s="147"/>
      <c r="C33" s="28"/>
      <c r="D33" s="28"/>
      <c r="E33" s="28"/>
      <c r="F33" s="28"/>
      <c r="G33" s="28"/>
      <c r="H33" s="28"/>
      <c r="I33" s="6" t="str">
        <f t="shared" si="1"/>
        <v/>
      </c>
      <c r="J33" s="157"/>
      <c r="K33" s="158"/>
      <c r="L33" s="159"/>
      <c r="O33" t="s">
        <v>70</v>
      </c>
    </row>
    <row r="34" spans="1:15">
      <c r="A34" s="28"/>
      <c r="B34" s="147"/>
      <c r="C34" s="28"/>
      <c r="D34" s="28"/>
      <c r="E34" s="28"/>
      <c r="F34" s="28"/>
      <c r="G34" s="28"/>
      <c r="H34" s="28"/>
      <c r="I34" s="6" t="str">
        <f t="shared" si="1"/>
        <v/>
      </c>
      <c r="J34" s="157"/>
      <c r="K34" s="158"/>
      <c r="L34" s="159"/>
      <c r="O34" t="s">
        <v>71</v>
      </c>
    </row>
    <row r="35" spans="1:12">
      <c r="A35" s="28"/>
      <c r="B35" s="147"/>
      <c r="C35" s="28"/>
      <c r="D35" s="28"/>
      <c r="E35" s="28"/>
      <c r="F35" s="28"/>
      <c r="G35" s="28"/>
      <c r="H35" s="28"/>
      <c r="I35" s="6" t="str">
        <f t="shared" si="1"/>
        <v/>
      </c>
      <c r="J35" s="157"/>
      <c r="K35" s="158"/>
      <c r="L35" s="159"/>
    </row>
    <row r="36" spans="1:12">
      <c r="A36" s="28"/>
      <c r="B36" s="147"/>
      <c r="C36" s="28"/>
      <c r="D36" s="28"/>
      <c r="E36" s="28"/>
      <c r="F36" s="28"/>
      <c r="G36" s="28"/>
      <c r="H36" s="28"/>
      <c r="I36" s="6" t="str">
        <f t="shared" si="1"/>
        <v/>
      </c>
      <c r="J36" s="157"/>
      <c r="K36" s="158"/>
      <c r="L36" s="159"/>
    </row>
    <row r="37" spans="1:12">
      <c r="A37" s="28"/>
      <c r="B37" s="147"/>
      <c r="C37" s="28"/>
      <c r="D37" s="28"/>
      <c r="E37" s="28"/>
      <c r="F37" s="28"/>
      <c r="G37" s="28"/>
      <c r="H37" s="28"/>
      <c r="I37" s="6" t="str">
        <f t="shared" si="1"/>
        <v/>
      </c>
      <c r="J37" s="157"/>
      <c r="K37" s="158"/>
      <c r="L37" s="159"/>
    </row>
    <row r="38" spans="1:12">
      <c r="A38" s="28"/>
      <c r="B38" s="147"/>
      <c r="C38" s="28"/>
      <c r="D38" s="28"/>
      <c r="E38" s="28"/>
      <c r="F38" s="28"/>
      <c r="G38" s="28"/>
      <c r="H38" s="28"/>
      <c r="I38" s="6" t="str">
        <f t="shared" si="1"/>
        <v/>
      </c>
      <c r="J38" s="157"/>
      <c r="K38" s="160"/>
      <c r="L38" s="161"/>
    </row>
    <row r="40" spans="1:12">
      <c r="A40" s="7" t="s">
        <v>72</v>
      </c>
      <c r="B40" s="7"/>
      <c r="C40" s="7"/>
      <c r="D40" s="7"/>
      <c r="E40" s="7"/>
      <c r="F40" s="7"/>
      <c r="G40" s="7"/>
      <c r="H40" s="7"/>
      <c r="I40" s="6" t="str">
        <f>IF(COUNTIF(I42:I53,"="&amp;IncompleteText),IncompleteText,IF(COUNTIF(I42:I53,"="&amp;ErrorText),ErrorText,OKText))</f>
        <v>BLANK</v>
      </c>
      <c r="J40" s="68" t="s">
        <v>39</v>
      </c>
      <c r="K40" s="36"/>
      <c r="L40" s="36"/>
    </row>
    <row r="41" spans="1:12">
      <c r="A41" s="2" t="s">
        <v>41</v>
      </c>
      <c r="B41" s="2" t="s">
        <v>42</v>
      </c>
      <c r="C41" s="2" t="s">
        <v>73</v>
      </c>
      <c r="D41" s="2" t="s">
        <v>45</v>
      </c>
      <c r="E41" s="2" t="s">
        <v>74</v>
      </c>
      <c r="F41" s="2" t="s">
        <v>46</v>
      </c>
      <c r="G41" s="49" t="str">
        <f>G16</f>
        <v>说明书链接 Datasheet Hyperlink</v>
      </c>
      <c r="H41" s="49" t="str">
        <f>H16</f>
        <v>位置 Location </v>
      </c>
      <c r="I41" s="2" t="s">
        <v>49</v>
      </c>
      <c r="J41" s="2" t="s">
        <v>50</v>
      </c>
      <c r="K41" s="187" t="s">
        <v>75</v>
      </c>
      <c r="L41" s="65"/>
    </row>
    <row r="42" spans="1:12">
      <c r="A42" s="28"/>
      <c r="B42" s="147"/>
      <c r="C42" s="28"/>
      <c r="D42" s="28"/>
      <c r="E42" s="28"/>
      <c r="F42" s="150"/>
      <c r="G42" s="28"/>
      <c r="H42" s="28"/>
      <c r="I42" s="6" t="str">
        <f>IF(COUNTBLANK(A42:H42)=8,IncompleteText,IF(AND(COUNTBLANK(A42:H42)=0,F42&gt;=85),IF(AND(H42="其他驱动系统",COUNTBLANK(J42)=1),ErrorText,OKText),ErrorText))</f>
        <v>BLANK</v>
      </c>
      <c r="J42" s="28"/>
      <c r="K42" s="65"/>
      <c r="L42" s="65"/>
    </row>
    <row r="43" spans="1:12">
      <c r="A43" s="28"/>
      <c r="B43" s="147"/>
      <c r="C43" s="28"/>
      <c r="D43" s="28"/>
      <c r="E43" s="28"/>
      <c r="F43" s="28"/>
      <c r="G43" s="28"/>
      <c r="H43" s="28"/>
      <c r="I43" s="6" t="str">
        <f t="shared" ref="I43:I53" si="2">IF(COUNTBLANK(A43:H43)=8,"",IF(AND(COUNTBLANK(A43:H43)=0,F43&gt;=85),IF(AND(H43="其他驱动系统",COUNTBLANK(J43)=1),ErrorText,OKText),ErrorText))</f>
        <v/>
      </c>
      <c r="J43" s="28"/>
      <c r="K43" s="65"/>
      <c r="L43" s="65"/>
    </row>
    <row r="44" spans="1:12">
      <c r="A44" s="28"/>
      <c r="B44" s="147"/>
      <c r="C44" s="28"/>
      <c r="D44" s="28"/>
      <c r="E44" s="28"/>
      <c r="F44" s="28"/>
      <c r="G44" s="28"/>
      <c r="H44" s="28"/>
      <c r="I44" s="6" t="str">
        <f t="shared" si="2"/>
        <v/>
      </c>
      <c r="J44" s="28"/>
      <c r="K44" s="65"/>
      <c r="L44" s="65"/>
    </row>
    <row r="45" spans="1:12">
      <c r="A45" s="28"/>
      <c r="B45" s="147"/>
      <c r="C45" s="28"/>
      <c r="D45" s="28"/>
      <c r="E45" s="28"/>
      <c r="F45" s="28"/>
      <c r="G45" s="28"/>
      <c r="H45" s="28"/>
      <c r="I45" s="6" t="str">
        <f t="shared" si="2"/>
        <v/>
      </c>
      <c r="J45" s="28"/>
      <c r="K45" s="65"/>
      <c r="L45" s="65"/>
    </row>
    <row r="46" spans="1:12">
      <c r="A46" s="28"/>
      <c r="B46" s="147"/>
      <c r="C46" s="28"/>
      <c r="D46" s="28"/>
      <c r="E46" s="28"/>
      <c r="F46" s="28"/>
      <c r="G46" s="28"/>
      <c r="H46" s="28"/>
      <c r="I46" s="6" t="str">
        <f t="shared" si="2"/>
        <v/>
      </c>
      <c r="J46" s="28"/>
      <c r="K46" s="65"/>
      <c r="L46" s="65"/>
    </row>
    <row r="47" spans="1:12">
      <c r="A47" s="28"/>
      <c r="B47" s="147"/>
      <c r="C47" s="28"/>
      <c r="D47" s="28"/>
      <c r="E47" s="28"/>
      <c r="F47" s="28"/>
      <c r="G47" s="28"/>
      <c r="H47" s="28"/>
      <c r="I47" s="6" t="str">
        <f t="shared" si="2"/>
        <v/>
      </c>
      <c r="J47" s="28"/>
      <c r="K47" s="65"/>
      <c r="L47" s="65"/>
    </row>
    <row r="48" spans="1:12">
      <c r="A48" s="28"/>
      <c r="B48" s="147"/>
      <c r="C48" s="28"/>
      <c r="D48" s="28"/>
      <c r="E48" s="28"/>
      <c r="F48" s="28"/>
      <c r="G48" s="28"/>
      <c r="H48" s="28"/>
      <c r="I48" s="6" t="str">
        <f t="shared" si="2"/>
        <v/>
      </c>
      <c r="J48" s="28"/>
      <c r="K48" s="65"/>
      <c r="L48" s="65"/>
    </row>
    <row r="49" spans="1:12">
      <c r="A49" s="28"/>
      <c r="B49" s="147"/>
      <c r="C49" s="28"/>
      <c r="D49" s="28"/>
      <c r="E49" s="28"/>
      <c r="F49" s="28"/>
      <c r="G49" s="28"/>
      <c r="H49" s="28"/>
      <c r="I49" s="6" t="str">
        <f t="shared" si="2"/>
        <v/>
      </c>
      <c r="J49" s="28"/>
      <c r="K49" s="65"/>
      <c r="L49" s="65"/>
    </row>
    <row r="50" spans="1:12">
      <c r="A50" s="28"/>
      <c r="B50" s="147"/>
      <c r="C50" s="28"/>
      <c r="D50" s="28"/>
      <c r="E50" s="28"/>
      <c r="F50" s="28"/>
      <c r="G50" s="28"/>
      <c r="H50" s="28"/>
      <c r="I50" s="6" t="str">
        <f t="shared" si="2"/>
        <v/>
      </c>
      <c r="J50" s="28"/>
      <c r="K50" s="65"/>
      <c r="L50" s="65"/>
    </row>
    <row r="51" spans="1:12">
      <c r="A51" s="28"/>
      <c r="B51" s="147"/>
      <c r="C51" s="28"/>
      <c r="D51" s="28"/>
      <c r="E51" s="28"/>
      <c r="F51" s="28"/>
      <c r="G51" s="28"/>
      <c r="H51" s="28"/>
      <c r="I51" s="6" t="str">
        <f t="shared" si="2"/>
        <v/>
      </c>
      <c r="J51" s="28"/>
      <c r="K51" s="65"/>
      <c r="L51" s="65"/>
    </row>
    <row r="52" spans="1:12">
      <c r="A52" s="28"/>
      <c r="B52" s="147"/>
      <c r="C52" s="28"/>
      <c r="D52" s="28"/>
      <c r="E52" s="28"/>
      <c r="F52" s="28"/>
      <c r="G52" s="28"/>
      <c r="H52" s="28"/>
      <c r="I52" s="6" t="str">
        <f t="shared" si="2"/>
        <v/>
      </c>
      <c r="J52" s="28"/>
      <c r="K52" s="65"/>
      <c r="L52" s="65"/>
    </row>
    <row r="53" spans="1:12">
      <c r="A53" s="28"/>
      <c r="B53" s="147"/>
      <c r="C53" s="28"/>
      <c r="D53" s="28"/>
      <c r="E53" s="28"/>
      <c r="F53" s="28"/>
      <c r="G53" s="28"/>
      <c r="H53" s="28"/>
      <c r="I53" s="6" t="str">
        <f t="shared" si="2"/>
        <v/>
      </c>
      <c r="J53" s="28"/>
      <c r="K53" s="65"/>
      <c r="L53" s="65"/>
    </row>
    <row r="55" spans="1:12">
      <c r="A55" s="7" t="s">
        <v>76</v>
      </c>
      <c r="B55" s="7"/>
      <c r="C55" s="7"/>
      <c r="D55" s="7"/>
      <c r="E55" s="7"/>
      <c r="F55" s="7"/>
      <c r="G55" s="7"/>
      <c r="H55" s="7"/>
      <c r="I55" s="6" t="str">
        <f>IF(COUNTIF(I57:I62,"="&amp;IncompleteText),IncompleteText,IF(COUNTIF(I57:I62,"="&amp;ErrorText),ErrorText,OKText))</f>
        <v>BLANK</v>
      </c>
      <c r="J55" s="68" t="s">
        <v>39</v>
      </c>
      <c r="K55" s="36"/>
      <c r="L55" s="36"/>
    </row>
    <row r="56" ht="15.75" customHeight="1" spans="1:12">
      <c r="A56" s="2" t="s">
        <v>41</v>
      </c>
      <c r="B56" s="2" t="s">
        <v>42</v>
      </c>
      <c r="C56" s="2" t="s">
        <v>44</v>
      </c>
      <c r="D56" s="148" t="s">
        <v>77</v>
      </c>
      <c r="E56" s="2" t="s">
        <v>78</v>
      </c>
      <c r="F56" s="2" t="s">
        <v>79</v>
      </c>
      <c r="G56" s="2" t="s">
        <v>47</v>
      </c>
      <c r="H56" s="2" t="s">
        <v>80</v>
      </c>
      <c r="I56" s="2" t="s">
        <v>49</v>
      </c>
      <c r="J56" s="2" t="s">
        <v>50</v>
      </c>
      <c r="K56" s="188" t="s">
        <v>81</v>
      </c>
      <c r="L56" s="162"/>
    </row>
    <row r="57" spans="1:12">
      <c r="A57" s="147"/>
      <c r="B57" s="147"/>
      <c r="C57" s="147"/>
      <c r="D57" s="147"/>
      <c r="E57" s="147"/>
      <c r="F57" s="28"/>
      <c r="G57" s="28"/>
      <c r="H57" s="20"/>
      <c r="I57" s="6" t="str">
        <f>IF(COUNTBLANK(A57:H57)=8,IncompleteText,IF(COUNTBLANK(A57:H57)=0,OKText,ErrorText))</f>
        <v>BLANK</v>
      </c>
      <c r="J57" s="28"/>
      <c r="K57" s="162"/>
      <c r="L57" s="162"/>
    </row>
    <row r="58" spans="1:12">
      <c r="A58" s="28"/>
      <c r="B58" s="147"/>
      <c r="C58" s="28"/>
      <c r="D58" s="28"/>
      <c r="E58" s="28"/>
      <c r="F58" s="28"/>
      <c r="G58" s="28"/>
      <c r="H58" s="20"/>
      <c r="I58" s="6" t="str">
        <f>IF(COUNTBLANK(A58:H58)=8,"",IF(COUNTBLANK(A58:H58)=0,OKText,ErrorText))</f>
        <v/>
      </c>
      <c r="J58" s="28"/>
      <c r="K58" s="162"/>
      <c r="L58" s="162"/>
    </row>
    <row r="59" spans="1:12">
      <c r="A59" s="28"/>
      <c r="B59" s="147"/>
      <c r="C59" s="28"/>
      <c r="D59" s="28"/>
      <c r="E59" s="28"/>
      <c r="F59" s="151"/>
      <c r="G59" s="28"/>
      <c r="H59" s="20"/>
      <c r="I59" s="6" t="str">
        <f>IF(COUNTBLANK(A59:H59)=8,"",IF(COUNTBLANK(A59:H59)=0,OKText,ErrorText))</f>
        <v/>
      </c>
      <c r="J59" s="28"/>
      <c r="K59" s="162"/>
      <c r="L59" s="162"/>
    </row>
    <row r="60" spans="1:12">
      <c r="A60" s="28"/>
      <c r="B60" s="147"/>
      <c r="C60" s="28"/>
      <c r="D60" s="28"/>
      <c r="E60" s="28"/>
      <c r="F60" s="151"/>
      <c r="G60" s="28"/>
      <c r="H60" s="20"/>
      <c r="I60" s="6" t="str">
        <f>IF(COUNTBLANK(A60:H60)=8,"",IF(COUNTBLANK(A60:H60)=0,OKText,ErrorText))</f>
        <v/>
      </c>
      <c r="J60" s="28"/>
      <c r="K60" s="162"/>
      <c r="L60" s="162"/>
    </row>
    <row r="61" spans="1:12">
      <c r="A61" s="28"/>
      <c r="B61" s="147"/>
      <c r="C61" s="28"/>
      <c r="D61" s="28"/>
      <c r="E61" s="28"/>
      <c r="F61" s="152"/>
      <c r="G61" s="28"/>
      <c r="H61" s="20"/>
      <c r="I61" s="6" t="str">
        <f>IF(COUNTBLANK(A61:H61)=8,"",IF(COUNTBLANK(A61:H61)=0,OKText,ErrorText))</f>
        <v/>
      </c>
      <c r="J61" s="28"/>
      <c r="K61" s="162"/>
      <c r="L61" s="162"/>
    </row>
    <row r="62" spans="1:12">
      <c r="A62" s="28"/>
      <c r="B62" s="147"/>
      <c r="C62" s="28"/>
      <c r="D62" s="28"/>
      <c r="E62" s="28"/>
      <c r="F62" s="28"/>
      <c r="G62" s="28"/>
      <c r="H62" s="20"/>
      <c r="I62" s="6" t="str">
        <f>IF(COUNTBLANK(A62:H62)=8,"",IF(COUNTBLANK(A62:H62)=0,OKText,ErrorText))</f>
        <v/>
      </c>
      <c r="J62" s="28"/>
      <c r="K62" s="162"/>
      <c r="L62" s="162"/>
    </row>
    <row r="64" spans="1:12">
      <c r="A64" s="7" t="s">
        <v>82</v>
      </c>
      <c r="B64" s="7"/>
      <c r="C64" s="7"/>
      <c r="D64" s="7"/>
      <c r="E64" s="7"/>
      <c r="F64" s="7"/>
      <c r="G64" s="7"/>
      <c r="H64" s="7"/>
      <c r="I64" s="6" t="str">
        <f>IF(COUNTIF(I66:I71,"="&amp;IncompleteText),IncompleteText,IF(COUNTIF(I66:I71,"="&amp;ErrorText),ErrorText,OKText))</f>
        <v>BLANK</v>
      </c>
      <c r="J64" s="68" t="s">
        <v>39</v>
      </c>
      <c r="K64" s="36"/>
      <c r="L64" s="36"/>
    </row>
    <row r="65" spans="1:12">
      <c r="A65" s="2" t="s">
        <v>41</v>
      </c>
      <c r="B65" s="2" t="s">
        <v>42</v>
      </c>
      <c r="C65" s="2" t="s">
        <v>44</v>
      </c>
      <c r="D65" s="2" t="s">
        <v>83</v>
      </c>
      <c r="E65" s="2" t="s">
        <v>74</v>
      </c>
      <c r="F65" s="2" t="s">
        <v>84</v>
      </c>
      <c r="G65" s="2" t="s">
        <v>47</v>
      </c>
      <c r="H65" s="2" t="s">
        <v>80</v>
      </c>
      <c r="I65" s="2" t="s">
        <v>49</v>
      </c>
      <c r="J65" s="2" t="s">
        <v>50</v>
      </c>
      <c r="K65" s="187" t="s">
        <v>85</v>
      </c>
      <c r="L65" s="65"/>
    </row>
    <row r="66" spans="1:12">
      <c r="A66" s="28"/>
      <c r="B66" s="147"/>
      <c r="C66" s="28"/>
      <c r="D66" s="28"/>
      <c r="E66" s="28"/>
      <c r="F66" s="28"/>
      <c r="G66" s="28"/>
      <c r="H66" s="20"/>
      <c r="I66" s="6" t="str">
        <f>IF(COUNTBLANK(A66:H66)=8,IncompleteText,IF(COUNTBLANK(A66:H66)=0,OKText,ErrorText))</f>
        <v>BLANK</v>
      </c>
      <c r="J66" s="28"/>
      <c r="K66" s="65"/>
      <c r="L66" s="65"/>
    </row>
    <row r="67" spans="1:12">
      <c r="A67" s="28"/>
      <c r="B67" s="147"/>
      <c r="C67" s="28"/>
      <c r="D67" s="28"/>
      <c r="E67" s="28"/>
      <c r="F67" s="28"/>
      <c r="G67" s="28"/>
      <c r="H67" s="20"/>
      <c r="I67" s="6" t="str">
        <f>IF(COUNTBLANK(A67:H67)=8,"",IF(COUNTBLANK(A67:H67)=0,OKText,ErrorText))</f>
        <v/>
      </c>
      <c r="J67" s="28"/>
      <c r="K67" s="65"/>
      <c r="L67" s="65"/>
    </row>
    <row r="68" spans="1:12">
      <c r="A68" s="28"/>
      <c r="B68" s="147"/>
      <c r="C68" s="28"/>
      <c r="D68" s="28"/>
      <c r="E68" s="28"/>
      <c r="F68" s="28"/>
      <c r="G68" s="28"/>
      <c r="H68" s="20"/>
      <c r="I68" s="6" t="str">
        <f>IF(COUNTBLANK(A68:H68)=8,"",IF(COUNTBLANK(A68:H68)=0,OKText,ErrorText))</f>
        <v/>
      </c>
      <c r="J68" s="28"/>
      <c r="K68" s="65"/>
      <c r="L68" s="65"/>
    </row>
    <row r="69" spans="1:12">
      <c r="A69" s="28"/>
      <c r="B69" s="147"/>
      <c r="C69" s="28"/>
      <c r="D69" s="28"/>
      <c r="E69" s="28"/>
      <c r="F69" s="28"/>
      <c r="G69" s="28"/>
      <c r="H69" s="20"/>
      <c r="I69" s="6" t="str">
        <f>IF(COUNTBLANK(A69:H69)=8,"",IF(COUNTBLANK(A69:H69)=0,OKText,ErrorText))</f>
        <v/>
      </c>
      <c r="J69" s="28"/>
      <c r="K69" s="65"/>
      <c r="L69" s="65"/>
    </row>
    <row r="70" spans="1:12">
      <c r="A70" s="28"/>
      <c r="B70" s="147"/>
      <c r="C70" s="28"/>
      <c r="D70" s="28"/>
      <c r="E70" s="28"/>
      <c r="F70" s="28"/>
      <c r="G70" s="28"/>
      <c r="H70" s="20"/>
      <c r="I70" s="6" t="str">
        <f>IF(COUNTBLANK(A70:H70)=8,"",IF(COUNTBLANK(A70:H70)=0,OKText,ErrorText))</f>
        <v/>
      </c>
      <c r="J70" s="28"/>
      <c r="K70" s="65"/>
      <c r="L70" s="65"/>
    </row>
    <row r="72" spans="1:12">
      <c r="A72" s="7" t="s">
        <v>86</v>
      </c>
      <c r="B72" s="36"/>
      <c r="C72" s="36"/>
      <c r="D72" s="36"/>
      <c r="E72" s="36"/>
      <c r="F72" s="36"/>
      <c r="G72" s="36"/>
      <c r="H72" s="36"/>
      <c r="I72" s="6" t="str">
        <f>IF(COUNTIF(I74:I92,"="&amp;IncompleteText),IncompleteText,IF(COUNTIF(I74:I92,"="&amp;ErrorText),ErrorText,OKText))</f>
        <v>BLANK</v>
      </c>
      <c r="J72" s="68" t="s">
        <v>39</v>
      </c>
      <c r="K72" s="36"/>
      <c r="L72" s="36"/>
    </row>
    <row r="73" spans="1:12">
      <c r="A73" s="2" t="s">
        <v>41</v>
      </c>
      <c r="B73" s="2" t="s">
        <v>42</v>
      </c>
      <c r="C73" s="2" t="s">
        <v>44</v>
      </c>
      <c r="D73" s="2" t="s">
        <v>45</v>
      </c>
      <c r="E73" s="148" t="s">
        <v>87</v>
      </c>
      <c r="F73" s="49" t="s">
        <v>47</v>
      </c>
      <c r="G73" s="49"/>
      <c r="H73" s="2" t="s">
        <v>80</v>
      </c>
      <c r="I73" s="2" t="s">
        <v>49</v>
      </c>
      <c r="J73" s="2" t="s">
        <v>50</v>
      </c>
      <c r="K73" s="187" t="s">
        <v>88</v>
      </c>
      <c r="L73" s="66"/>
    </row>
    <row r="74" spans="1:12">
      <c r="A74" s="28"/>
      <c r="B74" s="147"/>
      <c r="C74" s="28"/>
      <c r="D74" s="28"/>
      <c r="E74" s="28"/>
      <c r="F74" s="20"/>
      <c r="G74" s="20"/>
      <c r="H74" s="20"/>
      <c r="I74" s="6" t="str">
        <f>IF(COUNTBLANK(A74:H74)=8,IncompleteText,IF(COUNTBLANK(A74:H74)=1,OKText,ErrorText))</f>
        <v>BLANK</v>
      </c>
      <c r="J74" s="28"/>
      <c r="K74" s="66"/>
      <c r="L74" s="66"/>
    </row>
    <row r="75" spans="1:12">
      <c r="A75" s="28"/>
      <c r="B75" s="147"/>
      <c r="C75" s="28"/>
      <c r="D75" s="28"/>
      <c r="E75" s="28"/>
      <c r="F75" s="20"/>
      <c r="G75" s="20"/>
      <c r="H75" s="20"/>
      <c r="I75" s="6" t="str">
        <f t="shared" ref="I75:I92" si="3">IF(COUNTBLANK(A75:H75)=8,"",IF(COUNTBLANK(A75:H75)=1,OKText,ErrorText))</f>
        <v/>
      </c>
      <c r="J75" s="28"/>
      <c r="K75" s="66"/>
      <c r="L75" s="66"/>
    </row>
    <row r="76" spans="1:12">
      <c r="A76" s="28"/>
      <c r="B76" s="147"/>
      <c r="C76" s="28"/>
      <c r="D76" s="28"/>
      <c r="E76" s="28"/>
      <c r="F76" s="20"/>
      <c r="G76" s="20"/>
      <c r="H76" s="20"/>
      <c r="I76" s="6" t="str">
        <f t="shared" si="3"/>
        <v/>
      </c>
      <c r="J76" s="28"/>
      <c r="K76" s="66"/>
      <c r="L76" s="66"/>
    </row>
    <row r="77" spans="1:12">
      <c r="A77" s="28"/>
      <c r="B77" s="147"/>
      <c r="C77" s="28"/>
      <c r="D77" s="28"/>
      <c r="E77" s="28"/>
      <c r="F77" s="20"/>
      <c r="G77" s="20"/>
      <c r="H77" s="20"/>
      <c r="I77" s="6" t="str">
        <f t="shared" si="3"/>
        <v/>
      </c>
      <c r="J77" s="28"/>
      <c r="K77" s="66"/>
      <c r="L77" s="66"/>
    </row>
    <row r="78" spans="1:12">
      <c r="A78" s="28"/>
      <c r="B78" s="147"/>
      <c r="C78" s="28"/>
      <c r="D78" s="28"/>
      <c r="E78" s="28"/>
      <c r="F78" s="20"/>
      <c r="G78" s="20"/>
      <c r="H78" s="20"/>
      <c r="I78" s="6" t="str">
        <f t="shared" si="3"/>
        <v/>
      </c>
      <c r="J78" s="28"/>
      <c r="K78" s="66"/>
      <c r="L78" s="66"/>
    </row>
    <row r="79" spans="1:12">
      <c r="A79" s="28"/>
      <c r="B79" s="147"/>
      <c r="C79" s="28"/>
      <c r="D79" s="28"/>
      <c r="E79" s="28"/>
      <c r="F79" s="20"/>
      <c r="G79" s="20"/>
      <c r="H79" s="20"/>
      <c r="I79" s="6" t="str">
        <f t="shared" si="3"/>
        <v/>
      </c>
      <c r="J79" s="28"/>
      <c r="K79" s="66"/>
      <c r="L79" s="66"/>
    </row>
    <row r="80" spans="1:12">
      <c r="A80" s="28"/>
      <c r="B80" s="147"/>
      <c r="C80" s="28"/>
      <c r="D80" s="28"/>
      <c r="E80" s="28"/>
      <c r="F80" s="20"/>
      <c r="G80" s="20"/>
      <c r="H80" s="20"/>
      <c r="I80" s="6" t="str">
        <f t="shared" si="3"/>
        <v/>
      </c>
      <c r="J80" s="28"/>
      <c r="K80" s="66"/>
      <c r="L80" s="66"/>
    </row>
    <row r="81" spans="1:12">
      <c r="A81" s="28"/>
      <c r="B81" s="147"/>
      <c r="C81" s="28"/>
      <c r="D81" s="28"/>
      <c r="E81" s="28"/>
      <c r="F81" s="20"/>
      <c r="G81" s="20"/>
      <c r="H81" s="20"/>
      <c r="I81" s="6" t="str">
        <f t="shared" si="3"/>
        <v/>
      </c>
      <c r="J81" s="28"/>
      <c r="K81" s="66"/>
      <c r="L81" s="66"/>
    </row>
    <row r="82" spans="1:12">
      <c r="A82" s="28"/>
      <c r="B82" s="147"/>
      <c r="C82" s="28"/>
      <c r="D82" s="28"/>
      <c r="E82" s="28"/>
      <c r="F82" s="20"/>
      <c r="G82" s="20"/>
      <c r="H82" s="20"/>
      <c r="I82" s="6" t="str">
        <f t="shared" si="3"/>
        <v/>
      </c>
      <c r="J82" s="28"/>
      <c r="K82" s="66"/>
      <c r="L82" s="66"/>
    </row>
    <row r="83" spans="1:12">
      <c r="A83" s="28"/>
      <c r="B83" s="147"/>
      <c r="C83" s="28"/>
      <c r="D83" s="28"/>
      <c r="E83" s="28"/>
      <c r="F83" s="20"/>
      <c r="G83" s="20"/>
      <c r="H83" s="20"/>
      <c r="I83" s="6" t="str">
        <f t="shared" si="3"/>
        <v/>
      </c>
      <c r="J83" s="28"/>
      <c r="K83" s="66"/>
      <c r="L83" s="66"/>
    </row>
    <row r="84" spans="1:12">
      <c r="A84" s="28"/>
      <c r="B84" s="147"/>
      <c r="C84" s="28"/>
      <c r="D84" s="28"/>
      <c r="E84" s="28"/>
      <c r="F84" s="20"/>
      <c r="G84" s="20"/>
      <c r="H84" s="20"/>
      <c r="I84" s="6" t="str">
        <f t="shared" si="3"/>
        <v/>
      </c>
      <c r="J84" s="28"/>
      <c r="K84" s="66"/>
      <c r="L84" s="66"/>
    </row>
    <row r="85" spans="1:12">
      <c r="A85" s="28"/>
      <c r="B85" s="147"/>
      <c r="C85" s="28"/>
      <c r="D85" s="28"/>
      <c r="E85" s="28"/>
      <c r="F85" s="20"/>
      <c r="G85" s="20"/>
      <c r="H85" s="20"/>
      <c r="I85" s="6" t="str">
        <f t="shared" si="3"/>
        <v/>
      </c>
      <c r="J85" s="28"/>
      <c r="K85" s="66"/>
      <c r="L85" s="66"/>
    </row>
    <row r="86" spans="1:12">
      <c r="A86" s="28"/>
      <c r="B86" s="147"/>
      <c r="C86" s="28"/>
      <c r="D86" s="28"/>
      <c r="E86" s="28"/>
      <c r="F86" s="20"/>
      <c r="G86" s="20"/>
      <c r="H86" s="20"/>
      <c r="I86" s="6" t="str">
        <f t="shared" si="3"/>
        <v/>
      </c>
      <c r="J86" s="28"/>
      <c r="K86" s="66"/>
      <c r="L86" s="66"/>
    </row>
    <row r="87" spans="1:12">
      <c r="A87" s="28"/>
      <c r="B87" s="147"/>
      <c r="C87" s="28"/>
      <c r="D87" s="28"/>
      <c r="E87" s="28"/>
      <c r="F87" s="20"/>
      <c r="G87" s="20"/>
      <c r="H87" s="20"/>
      <c r="I87" s="6" t="str">
        <f t="shared" si="3"/>
        <v/>
      </c>
      <c r="J87" s="28"/>
      <c r="K87" s="66"/>
      <c r="L87" s="66"/>
    </row>
    <row r="88" spans="1:12">
      <c r="A88" s="28"/>
      <c r="B88" s="147"/>
      <c r="C88" s="28"/>
      <c r="D88" s="28"/>
      <c r="E88" s="28"/>
      <c r="F88" s="20"/>
      <c r="G88" s="20"/>
      <c r="H88" s="20"/>
      <c r="I88" s="6" t="str">
        <f t="shared" si="3"/>
        <v/>
      </c>
      <c r="J88" s="28"/>
      <c r="K88" s="66"/>
      <c r="L88" s="66"/>
    </row>
    <row r="89" spans="1:12">
      <c r="A89" s="28"/>
      <c r="B89" s="147"/>
      <c r="C89" s="28"/>
      <c r="D89" s="28"/>
      <c r="E89" s="28"/>
      <c r="F89" s="20"/>
      <c r="G89" s="20"/>
      <c r="H89" s="20"/>
      <c r="I89" s="6" t="str">
        <f t="shared" si="3"/>
        <v/>
      </c>
      <c r="J89" s="28"/>
      <c r="K89" s="66"/>
      <c r="L89" s="66"/>
    </row>
    <row r="90" spans="1:12">
      <c r="A90" s="28"/>
      <c r="B90" s="147"/>
      <c r="C90" s="28"/>
      <c r="D90" s="28"/>
      <c r="E90" s="28"/>
      <c r="F90" s="20"/>
      <c r="G90" s="20"/>
      <c r="H90" s="20"/>
      <c r="I90" s="6" t="str">
        <f t="shared" si="3"/>
        <v/>
      </c>
      <c r="J90" s="28"/>
      <c r="K90" s="66"/>
      <c r="L90" s="66"/>
    </row>
    <row r="91" spans="1:12">
      <c r="A91" s="28"/>
      <c r="B91" s="147"/>
      <c r="C91" s="28"/>
      <c r="D91" s="28"/>
      <c r="E91" s="28"/>
      <c r="F91" s="20"/>
      <c r="G91" s="20"/>
      <c r="H91" s="20"/>
      <c r="I91" s="6" t="str">
        <f t="shared" si="3"/>
        <v/>
      </c>
      <c r="J91" s="28"/>
      <c r="K91" s="66"/>
      <c r="L91" s="66"/>
    </row>
    <row r="92" spans="1:12">
      <c r="A92" s="28"/>
      <c r="B92" s="147"/>
      <c r="C92" s="28"/>
      <c r="D92" s="28"/>
      <c r="E92" s="28"/>
      <c r="F92" s="20"/>
      <c r="G92" s="20"/>
      <c r="H92" s="20"/>
      <c r="I92" s="6" t="str">
        <f t="shared" si="3"/>
        <v/>
      </c>
      <c r="J92" s="28"/>
      <c r="K92" s="66"/>
      <c r="L92" s="66"/>
    </row>
    <row r="94" spans="1:12">
      <c r="A94" s="7" t="s">
        <v>89</v>
      </c>
      <c r="B94" s="7"/>
      <c r="C94" s="7"/>
      <c r="D94" s="7"/>
      <c r="E94" s="7"/>
      <c r="F94" s="7"/>
      <c r="G94" s="7"/>
      <c r="H94" s="7"/>
      <c r="I94" s="7"/>
      <c r="J94" s="6" t="str">
        <f>IF(COUNTIF(J96:J105,"="&amp;IncompleteText),IncompleteText,IF(COUNTIF(J96:J105,"="&amp;ErrorText),ErrorText,OKText))</f>
        <v>BLANK</v>
      </c>
      <c r="K94" s="68" t="s">
        <v>39</v>
      </c>
      <c r="L94" s="36"/>
    </row>
    <row r="95" spans="1:12">
      <c r="A95" s="2" t="s">
        <v>41</v>
      </c>
      <c r="B95" s="2" t="s">
        <v>42</v>
      </c>
      <c r="C95" s="2" t="s">
        <v>90</v>
      </c>
      <c r="D95" s="2" t="s">
        <v>91</v>
      </c>
      <c r="E95" s="2" t="s">
        <v>92</v>
      </c>
      <c r="F95" s="2" t="s">
        <v>46</v>
      </c>
      <c r="G95" s="2" t="s">
        <v>93</v>
      </c>
      <c r="H95" s="49" t="s">
        <v>47</v>
      </c>
      <c r="I95" s="2" t="s">
        <v>80</v>
      </c>
      <c r="J95" s="2" t="s">
        <v>49</v>
      </c>
      <c r="K95" s="2" t="s">
        <v>94</v>
      </c>
      <c r="L95" s="164"/>
    </row>
    <row r="96" spans="1:12">
      <c r="A96" s="147"/>
      <c r="B96" s="147"/>
      <c r="C96" s="163"/>
      <c r="D96" s="163"/>
      <c r="E96" s="34" t="str">
        <f t="shared" ref="E96:E105" si="4">IF(OR(ISBLANK(C96),ISBLANK(D96)),"",C96*D96)</f>
        <v/>
      </c>
      <c r="F96" s="163"/>
      <c r="G96" s="147"/>
      <c r="H96" s="28"/>
      <c r="I96" s="20"/>
      <c r="J96" s="6" t="str">
        <f>IF(COUNTBLANK(B96:I96)=8,IncompleteText,IF(AND(COUNTBLANK(B96:I96)=0,E96&gt;=85),OKText,ErrorText))</f>
        <v>BLANK</v>
      </c>
      <c r="K96" s="20"/>
      <c r="L96" s="165"/>
    </row>
    <row r="97" spans="1:12">
      <c r="A97" s="28"/>
      <c r="B97" s="147"/>
      <c r="C97" s="163"/>
      <c r="D97" s="163"/>
      <c r="E97" s="34" t="str">
        <f t="shared" si="4"/>
        <v/>
      </c>
      <c r="F97" s="163"/>
      <c r="G97" s="147"/>
      <c r="H97" s="28"/>
      <c r="I97" s="20"/>
      <c r="J97" s="6" t="str">
        <f t="shared" ref="J97:J105" si="5">IF(COUNTBLANK(B97:I97)=8,"",IF(AND(COUNTBLANK(B97:I97)=0,E97&gt;=85),OKText,ErrorText))</f>
        <v/>
      </c>
      <c r="K97" s="20"/>
      <c r="L97" s="165"/>
    </row>
    <row r="98" spans="1:12">
      <c r="A98" s="28"/>
      <c r="B98" s="147"/>
      <c r="C98" s="163"/>
      <c r="D98" s="163"/>
      <c r="E98" s="34" t="str">
        <f t="shared" si="4"/>
        <v/>
      </c>
      <c r="F98" s="163"/>
      <c r="G98" s="147"/>
      <c r="H98" s="28"/>
      <c r="I98" s="20"/>
      <c r="J98" s="6" t="str">
        <f t="shared" si="5"/>
        <v/>
      </c>
      <c r="K98" s="20"/>
      <c r="L98" s="165"/>
    </row>
    <row r="99" spans="1:12">
      <c r="A99" s="28"/>
      <c r="B99" s="147"/>
      <c r="C99" s="163"/>
      <c r="D99" s="163"/>
      <c r="E99" s="34" t="str">
        <f t="shared" si="4"/>
        <v/>
      </c>
      <c r="F99" s="163"/>
      <c r="G99" s="147"/>
      <c r="H99" s="28"/>
      <c r="I99" s="20"/>
      <c r="J99" s="6" t="str">
        <f t="shared" si="5"/>
        <v/>
      </c>
      <c r="K99" s="20"/>
      <c r="L99" s="165"/>
    </row>
    <row r="100" spans="1:12">
      <c r="A100" s="28"/>
      <c r="B100" s="147"/>
      <c r="C100" s="163"/>
      <c r="D100" s="163"/>
      <c r="E100" s="34" t="str">
        <f t="shared" si="4"/>
        <v/>
      </c>
      <c r="F100" s="163"/>
      <c r="G100" s="147"/>
      <c r="H100" s="28"/>
      <c r="I100" s="20"/>
      <c r="J100" s="6" t="str">
        <f t="shared" si="5"/>
        <v/>
      </c>
      <c r="K100" s="20"/>
      <c r="L100" s="165"/>
    </row>
    <row r="101" spans="1:12">
      <c r="A101" s="28"/>
      <c r="B101" s="147"/>
      <c r="C101" s="163"/>
      <c r="D101" s="163"/>
      <c r="E101" s="34" t="str">
        <f t="shared" si="4"/>
        <v/>
      </c>
      <c r="F101" s="163"/>
      <c r="G101" s="147"/>
      <c r="H101" s="28"/>
      <c r="I101" s="20"/>
      <c r="J101" s="6" t="str">
        <f t="shared" si="5"/>
        <v/>
      </c>
      <c r="K101" s="20"/>
      <c r="L101" s="165"/>
    </row>
    <row r="102" spans="1:12">
      <c r="A102" s="28"/>
      <c r="B102" s="147"/>
      <c r="C102" s="163"/>
      <c r="D102" s="163"/>
      <c r="E102" s="34" t="str">
        <f t="shared" si="4"/>
        <v/>
      </c>
      <c r="F102" s="163"/>
      <c r="G102" s="147"/>
      <c r="H102" s="28"/>
      <c r="I102" s="20"/>
      <c r="J102" s="6" t="str">
        <f t="shared" si="5"/>
        <v/>
      </c>
      <c r="K102" s="20"/>
      <c r="L102" s="165"/>
    </row>
    <row r="103" spans="1:12">
      <c r="A103" s="28"/>
      <c r="B103" s="147"/>
      <c r="C103" s="163"/>
      <c r="D103" s="163"/>
      <c r="E103" s="34" t="str">
        <f t="shared" si="4"/>
        <v/>
      </c>
      <c r="F103" s="163"/>
      <c r="G103" s="147"/>
      <c r="H103" s="28"/>
      <c r="I103" s="20"/>
      <c r="J103" s="6" t="str">
        <f t="shared" si="5"/>
        <v/>
      </c>
      <c r="K103" s="20"/>
      <c r="L103" s="165"/>
    </row>
    <row r="104" spans="1:12">
      <c r="A104" s="28"/>
      <c r="B104" s="147"/>
      <c r="C104" s="163"/>
      <c r="D104" s="163"/>
      <c r="E104" s="34" t="str">
        <f t="shared" si="4"/>
        <v/>
      </c>
      <c r="F104" s="163"/>
      <c r="G104" s="147"/>
      <c r="H104" s="28"/>
      <c r="I104" s="20"/>
      <c r="J104" s="6" t="str">
        <f t="shared" si="5"/>
        <v/>
      </c>
      <c r="K104" s="20"/>
      <c r="L104" s="165"/>
    </row>
    <row r="105" spans="1:12">
      <c r="A105" s="28"/>
      <c r="B105" s="147"/>
      <c r="C105" s="163"/>
      <c r="D105" s="163"/>
      <c r="E105" s="34" t="str">
        <f t="shared" si="4"/>
        <v/>
      </c>
      <c r="F105" s="163"/>
      <c r="G105" s="147"/>
      <c r="H105" s="28"/>
      <c r="I105" s="20"/>
      <c r="J105" s="6" t="str">
        <f t="shared" si="5"/>
        <v/>
      </c>
      <c r="K105" s="20"/>
      <c r="L105" s="166"/>
    </row>
  </sheetData>
  <sheetProtection algorithmName="SHA-512" hashValue="x79dyYxbj5DcavyUbuySDq05xq8L5Y5QH35wsIfBdZ9HTAE1F5d69Kh3TAuMAqSSbRtaA7Pqp+pK1VhrbRmuHg==" saltValue="RNo9RYck7dgr2MaBuA4VmA==" spinCount="100000" sheet="1" selectLockedCells="1" insertRows="0" insertHyperlinks="0" objects="1" scenarios="1"/>
  <protectedRanges>
    <protectedRange sqref="A96:D105 F96:I105 K96:K105" name="dat2"/>
    <protectedRange sqref="C3:D4 C5:C11 C12:D13 A17:H38 J17:J38 J42:J53 A42:H53 A57:H62 J57:J62 J66:J70 A66:H70 A74:H92 J74:J92" name="data1"/>
  </protectedRanges>
  <mergeCells count="54">
    <mergeCell ref="A2:D2"/>
    <mergeCell ref="A3:B3"/>
    <mergeCell ref="C3:D3"/>
    <mergeCell ref="A4:B4"/>
    <mergeCell ref="C4:D4"/>
    <mergeCell ref="A5:B5"/>
    <mergeCell ref="A6:B6"/>
    <mergeCell ref="A7:B7"/>
    <mergeCell ref="A8:B8"/>
    <mergeCell ref="A9:B9"/>
    <mergeCell ref="A10:B10"/>
    <mergeCell ref="A11:B11"/>
    <mergeCell ref="A12:B12"/>
    <mergeCell ref="C12:D12"/>
    <mergeCell ref="A13:B13"/>
    <mergeCell ref="C13:D13"/>
    <mergeCell ref="A15:H15"/>
    <mergeCell ref="K15:L15"/>
    <mergeCell ref="A40:H40"/>
    <mergeCell ref="J40:L40"/>
    <mergeCell ref="A55:H55"/>
    <mergeCell ref="J55:L55"/>
    <mergeCell ref="A64:H64"/>
    <mergeCell ref="J64:L64"/>
    <mergeCell ref="A72:H72"/>
    <mergeCell ref="J72:L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A94:I94"/>
    <mergeCell ref="K94:L94"/>
    <mergeCell ref="L95:L105"/>
    <mergeCell ref="K41:L53"/>
    <mergeCell ref="K16:L38"/>
    <mergeCell ref="K65:L70"/>
    <mergeCell ref="K56:L62"/>
    <mergeCell ref="K73:L92"/>
  </mergeCells>
  <dataValidations count="5">
    <dataValidation type="list" allowBlank="1" showInputMessage="1" showErrorMessage="1" sqref="F66:F70">
      <formula1>"NO,NC"</formula1>
    </dataValidation>
    <dataValidation type="list" allowBlank="1" showInputMessage="1" showErrorMessage="1" sqref="H17:H38 H42:H53">
      <formula1>$O$16:$O$34</formula1>
    </dataValidation>
    <dataValidation type="list" allowBlank="1" showInputMessage="1" showErrorMessage="1" sqref="H57:H62">
      <formula1>"预充电路 Precharge,放电回路 Discharge,其他-驱动系统 Other TS,其他-低压系统 Other LVS"</formula1>
    </dataValidation>
    <dataValidation type="list" allowBlank="1" showInputMessage="1" showErrorMessage="1" sqref="H66:H70">
      <formula1>"AIR,预充电 Precharge,放电 Discharge,其他 Other"</formula1>
    </dataValidation>
    <dataValidation type="list" allowBlank="1" showInputMessage="1" showErrorMessage="1" sqref="H74:H92">
      <formula1>"维护插头,电池箱主接插件,电池箱其他驱动系统接插件,HVD,能量计壳体,电机控制器壳体,电机控制器到电机,其他驱动系统位置"</formula1>
    </dataValidation>
  </dataValidations>
  <pageMargins left="0.7" right="0.7" top="0.75" bottom="0.75" header="0.3" footer="0.3"/>
  <pageSetup paperSize="9" orientation="portrait"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50"/>
  <sheetViews>
    <sheetView topLeftCell="A11" workbookViewId="0">
      <selection activeCell="M2" sqref="M2:W27"/>
    </sheetView>
  </sheetViews>
  <sheetFormatPr defaultColWidth="9" defaultRowHeight="14"/>
  <cols>
    <col min="1" max="1" width="11" customWidth="1"/>
    <col min="11" max="11" width="16.125" customWidth="1"/>
    <col min="13" max="13" width="17" customWidth="1"/>
    <col min="25" max="25" width="22.75" customWidth="1"/>
    <col min="26" max="26" width="25.375" customWidth="1"/>
    <col min="31" max="31" width="9" customWidth="1"/>
  </cols>
  <sheetData>
    <row r="1" spans="1:11">
      <c r="A1" s="2" t="s">
        <v>23</v>
      </c>
      <c r="B1" s="6" t="str" cm="1">
        <f ca="1" t="array" ref="B1">IF(SUM(COUNTIF(INDIRECT({"$K$28","$W$28","$K$48"}),"="&amp;IncompleteText)),IncompleteText,IF(SUM(COUNTIF(INDIRECT({"$K$28","$W$28","$K$48"}),"="&amp;ErrorText)),ErrorText,OKText))</f>
        <v>BLANK</v>
      </c>
      <c r="C1" s="16"/>
      <c r="D1" s="16"/>
      <c r="E1" s="16"/>
      <c r="F1" s="16"/>
      <c r="G1" s="16"/>
      <c r="H1" s="16"/>
      <c r="I1" s="16"/>
      <c r="J1" s="16"/>
      <c r="K1" s="16"/>
    </row>
    <row r="2" ht="32.1" customHeight="1" spans="1:31">
      <c r="A2" s="12" t="s">
        <v>95</v>
      </c>
      <c r="B2" s="12"/>
      <c r="C2" s="12"/>
      <c r="D2" s="12"/>
      <c r="E2" s="12"/>
      <c r="F2" s="12"/>
      <c r="G2" s="12"/>
      <c r="H2" s="12"/>
      <c r="I2" s="12"/>
      <c r="J2" s="12"/>
      <c r="K2" s="12"/>
      <c r="M2" s="14" t="s">
        <v>96</v>
      </c>
      <c r="N2" s="12"/>
      <c r="O2" s="12"/>
      <c r="P2" s="12"/>
      <c r="Q2" s="12"/>
      <c r="R2" s="12"/>
      <c r="S2" s="12"/>
      <c r="T2" s="12"/>
      <c r="U2" s="12"/>
      <c r="V2" s="12"/>
      <c r="W2" s="12"/>
      <c r="Y2" s="68" t="s">
        <v>97</v>
      </c>
      <c r="Z2" s="36"/>
      <c r="AA2" s="36"/>
      <c r="AB2" s="36"/>
      <c r="AC2" s="36"/>
      <c r="AD2" s="36"/>
      <c r="AE2" s="36"/>
    </row>
    <row r="3" ht="32.1" customHeight="1" spans="1:31">
      <c r="A3" s="12"/>
      <c r="B3" s="12"/>
      <c r="C3" s="12"/>
      <c r="D3" s="12"/>
      <c r="E3" s="12"/>
      <c r="F3" s="12"/>
      <c r="G3" s="12"/>
      <c r="H3" s="12"/>
      <c r="I3" s="12"/>
      <c r="J3" s="12"/>
      <c r="K3" s="12"/>
      <c r="M3" s="12"/>
      <c r="N3" s="12"/>
      <c r="O3" s="12"/>
      <c r="P3" s="12"/>
      <c r="Q3" s="12"/>
      <c r="R3" s="12"/>
      <c r="S3" s="12"/>
      <c r="T3" s="12"/>
      <c r="U3" s="12"/>
      <c r="V3" s="12"/>
      <c r="W3" s="12"/>
      <c r="Y3" s="146" t="s">
        <v>98</v>
      </c>
      <c r="Z3" s="88"/>
      <c r="AA3" s="88"/>
      <c r="AB3" s="88"/>
      <c r="AC3" s="88"/>
      <c r="AD3" s="88"/>
      <c r="AE3" s="88"/>
    </row>
    <row r="4" ht="32.1" customHeight="1" spans="1:31">
      <c r="A4" s="12"/>
      <c r="B4" s="12"/>
      <c r="C4" s="12"/>
      <c r="D4" s="12"/>
      <c r="E4" s="12"/>
      <c r="F4" s="12"/>
      <c r="G4" s="12"/>
      <c r="H4" s="12"/>
      <c r="I4" s="12"/>
      <c r="J4" s="12"/>
      <c r="K4" s="12"/>
      <c r="M4" s="12"/>
      <c r="N4" s="12"/>
      <c r="O4" s="12"/>
      <c r="P4" s="12"/>
      <c r="Q4" s="12"/>
      <c r="R4" s="12"/>
      <c r="S4" s="12"/>
      <c r="T4" s="12"/>
      <c r="U4" s="12"/>
      <c r="V4" s="12"/>
      <c r="W4" s="12"/>
      <c r="Y4" s="30"/>
      <c r="Z4" s="30"/>
      <c r="AA4" s="30"/>
      <c r="AB4" s="30"/>
      <c r="AC4" s="30"/>
      <c r="AD4" s="30"/>
      <c r="AE4" s="30"/>
    </row>
    <row r="5" ht="32.1" customHeight="1" spans="1:31">
      <c r="A5" s="12"/>
      <c r="B5" s="12"/>
      <c r="C5" s="12"/>
      <c r="D5" s="12"/>
      <c r="E5" s="12"/>
      <c r="F5" s="12"/>
      <c r="G5" s="12"/>
      <c r="H5" s="12"/>
      <c r="I5" s="12"/>
      <c r="J5" s="12"/>
      <c r="K5" s="12"/>
      <c r="M5" s="12"/>
      <c r="N5" s="12"/>
      <c r="O5" s="12"/>
      <c r="P5" s="12"/>
      <c r="Q5" s="12"/>
      <c r="R5" s="12"/>
      <c r="S5" s="12"/>
      <c r="T5" s="12"/>
      <c r="U5" s="12"/>
      <c r="V5" s="12"/>
      <c r="W5" s="12"/>
      <c r="Y5" s="30"/>
      <c r="Z5" s="30"/>
      <c r="AA5" s="30"/>
      <c r="AB5" s="30"/>
      <c r="AC5" s="30"/>
      <c r="AD5" s="30"/>
      <c r="AE5" s="30"/>
    </row>
    <row r="6" ht="32.1" customHeight="1" spans="1:31">
      <c r="A6" s="12"/>
      <c r="B6" s="12"/>
      <c r="C6" s="12"/>
      <c r="D6" s="12"/>
      <c r="E6" s="12"/>
      <c r="F6" s="12"/>
      <c r="G6" s="12"/>
      <c r="H6" s="12"/>
      <c r="I6" s="12"/>
      <c r="J6" s="12"/>
      <c r="K6" s="12"/>
      <c r="M6" s="12"/>
      <c r="N6" s="12"/>
      <c r="O6" s="12"/>
      <c r="P6" s="12"/>
      <c r="Q6" s="12"/>
      <c r="R6" s="12"/>
      <c r="S6" s="12"/>
      <c r="T6" s="12"/>
      <c r="U6" s="12"/>
      <c r="V6" s="12"/>
      <c r="W6" s="12"/>
      <c r="Y6" s="30"/>
      <c r="Z6" s="30"/>
      <c r="AA6" s="30"/>
      <c r="AB6" s="30"/>
      <c r="AC6" s="30"/>
      <c r="AD6" s="30"/>
      <c r="AE6" s="30"/>
    </row>
    <row r="7" ht="32.1" customHeight="1" spans="1:31">
      <c r="A7" s="12"/>
      <c r="B7" s="12"/>
      <c r="C7" s="12"/>
      <c r="D7" s="12"/>
      <c r="E7" s="12"/>
      <c r="F7" s="12"/>
      <c r="G7" s="12"/>
      <c r="H7" s="12"/>
      <c r="I7" s="12"/>
      <c r="J7" s="12"/>
      <c r="K7" s="12"/>
      <c r="M7" s="12"/>
      <c r="N7" s="12"/>
      <c r="O7" s="12"/>
      <c r="P7" s="12"/>
      <c r="Q7" s="12"/>
      <c r="R7" s="12"/>
      <c r="S7" s="12"/>
      <c r="T7" s="12"/>
      <c r="U7" s="12"/>
      <c r="V7" s="12"/>
      <c r="W7" s="12"/>
      <c r="Y7" s="30"/>
      <c r="Z7" s="30"/>
      <c r="AA7" s="30"/>
      <c r="AB7" s="30"/>
      <c r="AC7" s="30"/>
      <c r="AD7" s="30"/>
      <c r="AE7" s="30"/>
    </row>
    <row r="8" ht="32.1" customHeight="1" spans="1:31">
      <c r="A8" s="12"/>
      <c r="B8" s="12"/>
      <c r="C8" s="12"/>
      <c r="D8" s="12"/>
      <c r="E8" s="12"/>
      <c r="F8" s="12"/>
      <c r="G8" s="12"/>
      <c r="H8" s="12"/>
      <c r="I8" s="12"/>
      <c r="J8" s="12"/>
      <c r="K8" s="12"/>
      <c r="M8" s="12"/>
      <c r="N8" s="12"/>
      <c r="O8" s="12"/>
      <c r="P8" s="12"/>
      <c r="Q8" s="12"/>
      <c r="R8" s="12"/>
      <c r="S8" s="12"/>
      <c r="T8" s="12"/>
      <c r="U8" s="12"/>
      <c r="V8" s="12"/>
      <c r="W8" s="12"/>
      <c r="Y8" s="30"/>
      <c r="Z8" s="30"/>
      <c r="AA8" s="30"/>
      <c r="AB8" s="30"/>
      <c r="AC8" s="30"/>
      <c r="AD8" s="30"/>
      <c r="AE8" s="30"/>
    </row>
    <row r="9" ht="32.1" customHeight="1" spans="1:31">
      <c r="A9" s="12"/>
      <c r="B9" s="12"/>
      <c r="C9" s="12"/>
      <c r="D9" s="12"/>
      <c r="E9" s="12"/>
      <c r="F9" s="12"/>
      <c r="G9" s="12"/>
      <c r="H9" s="12"/>
      <c r="I9" s="12"/>
      <c r="J9" s="12"/>
      <c r="K9" s="12"/>
      <c r="M9" s="12"/>
      <c r="N9" s="12"/>
      <c r="O9" s="12"/>
      <c r="P9" s="12"/>
      <c r="Q9" s="12"/>
      <c r="R9" s="12"/>
      <c r="S9" s="12"/>
      <c r="T9" s="12"/>
      <c r="U9" s="12"/>
      <c r="V9" s="12"/>
      <c r="W9" s="12"/>
      <c r="Y9" s="30"/>
      <c r="Z9" s="30"/>
      <c r="AA9" s="30"/>
      <c r="AB9" s="30"/>
      <c r="AC9" s="30"/>
      <c r="AD9" s="30"/>
      <c r="AE9" s="30"/>
    </row>
    <row r="10" ht="32.1" customHeight="1" spans="1:31">
      <c r="A10" s="12"/>
      <c r="B10" s="12"/>
      <c r="C10" s="12"/>
      <c r="D10" s="12"/>
      <c r="E10" s="12"/>
      <c r="F10" s="12"/>
      <c r="G10" s="12"/>
      <c r="H10" s="12"/>
      <c r="I10" s="12"/>
      <c r="J10" s="12"/>
      <c r="K10" s="12"/>
      <c r="M10" s="12"/>
      <c r="N10" s="12"/>
      <c r="O10" s="12"/>
      <c r="P10" s="12"/>
      <c r="Q10" s="12"/>
      <c r="R10" s="12"/>
      <c r="S10" s="12"/>
      <c r="T10" s="12"/>
      <c r="U10" s="12"/>
      <c r="V10" s="12"/>
      <c r="W10" s="12"/>
      <c r="Y10" s="30"/>
      <c r="Z10" s="30"/>
      <c r="AA10" s="30"/>
      <c r="AB10" s="30"/>
      <c r="AC10" s="30"/>
      <c r="AD10" s="30"/>
      <c r="AE10" s="30"/>
    </row>
    <row r="11" ht="32.1" customHeight="1" spans="1:31">
      <c r="A11" s="12"/>
      <c r="B11" s="12"/>
      <c r="C11" s="12"/>
      <c r="D11" s="12"/>
      <c r="E11" s="12"/>
      <c r="F11" s="12"/>
      <c r="G11" s="12"/>
      <c r="H11" s="12"/>
      <c r="I11" s="12"/>
      <c r="J11" s="12"/>
      <c r="K11" s="12"/>
      <c r="M11" s="12"/>
      <c r="N11" s="12"/>
      <c r="O11" s="12"/>
      <c r="P11" s="12"/>
      <c r="Q11" s="12"/>
      <c r="R11" s="12"/>
      <c r="S11" s="12"/>
      <c r="T11" s="12"/>
      <c r="U11" s="12"/>
      <c r="V11" s="12"/>
      <c r="W11" s="12"/>
      <c r="Y11" s="30"/>
      <c r="Z11" s="30"/>
      <c r="AA11" s="30"/>
      <c r="AB11" s="30"/>
      <c r="AC11" s="30"/>
      <c r="AD11" s="30"/>
      <c r="AE11" s="30"/>
    </row>
    <row r="12" ht="32.1" customHeight="1" spans="1:31">
      <c r="A12" s="12"/>
      <c r="B12" s="12"/>
      <c r="C12" s="12"/>
      <c r="D12" s="12"/>
      <c r="E12" s="12"/>
      <c r="F12" s="12"/>
      <c r="G12" s="12"/>
      <c r="H12" s="12"/>
      <c r="I12" s="12"/>
      <c r="J12" s="12"/>
      <c r="K12" s="12"/>
      <c r="M12" s="12"/>
      <c r="N12" s="12"/>
      <c r="O12" s="12"/>
      <c r="P12" s="12"/>
      <c r="Q12" s="12"/>
      <c r="R12" s="12"/>
      <c r="S12" s="12"/>
      <c r="T12" s="12"/>
      <c r="U12" s="12"/>
      <c r="V12" s="12"/>
      <c r="W12" s="12"/>
      <c r="Y12" s="30"/>
      <c r="Z12" s="30"/>
      <c r="AA12" s="30"/>
      <c r="AB12" s="30"/>
      <c r="AC12" s="30"/>
      <c r="AD12" s="30"/>
      <c r="AE12" s="30"/>
    </row>
    <row r="13" ht="32.1" customHeight="1" spans="1:31">
      <c r="A13" s="12"/>
      <c r="B13" s="12"/>
      <c r="C13" s="12"/>
      <c r="D13" s="12"/>
      <c r="E13" s="12"/>
      <c r="F13" s="12"/>
      <c r="G13" s="12"/>
      <c r="H13" s="12"/>
      <c r="I13" s="12"/>
      <c r="J13" s="12"/>
      <c r="K13" s="12"/>
      <c r="M13" s="12"/>
      <c r="N13" s="12"/>
      <c r="O13" s="12"/>
      <c r="P13" s="12"/>
      <c r="Q13" s="12"/>
      <c r="R13" s="12"/>
      <c r="S13" s="12"/>
      <c r="T13" s="12"/>
      <c r="U13" s="12"/>
      <c r="V13" s="12"/>
      <c r="W13" s="12"/>
      <c r="Y13" s="30"/>
      <c r="Z13" s="30"/>
      <c r="AA13" s="30"/>
      <c r="AB13" s="30"/>
      <c r="AC13" s="30"/>
      <c r="AD13" s="30"/>
      <c r="AE13" s="30"/>
    </row>
    <row r="14" ht="32.1" customHeight="1" spans="1:31">
      <c r="A14" s="12"/>
      <c r="B14" s="12"/>
      <c r="C14" s="12"/>
      <c r="D14" s="12"/>
      <c r="E14" s="12"/>
      <c r="F14" s="12"/>
      <c r="G14" s="12"/>
      <c r="H14" s="12"/>
      <c r="I14" s="12"/>
      <c r="J14" s="12"/>
      <c r="K14" s="12"/>
      <c r="M14" s="12"/>
      <c r="N14" s="12"/>
      <c r="O14" s="12"/>
      <c r="P14" s="12"/>
      <c r="Q14" s="12"/>
      <c r="R14" s="12"/>
      <c r="S14" s="12"/>
      <c r="T14" s="12"/>
      <c r="U14" s="12"/>
      <c r="V14" s="12"/>
      <c r="W14" s="12"/>
      <c r="Y14" s="30"/>
      <c r="Z14" s="30"/>
      <c r="AA14" s="30"/>
      <c r="AB14" s="30"/>
      <c r="AC14" s="30"/>
      <c r="AD14" s="30"/>
      <c r="AE14" s="30"/>
    </row>
    <row r="15" ht="32.1" customHeight="1" spans="1:31">
      <c r="A15" s="12"/>
      <c r="B15" s="12"/>
      <c r="C15" s="12"/>
      <c r="D15" s="12"/>
      <c r="E15" s="12"/>
      <c r="F15" s="12"/>
      <c r="G15" s="12"/>
      <c r="H15" s="12"/>
      <c r="I15" s="12"/>
      <c r="J15" s="12"/>
      <c r="K15" s="12"/>
      <c r="M15" s="12"/>
      <c r="N15" s="12"/>
      <c r="O15" s="12"/>
      <c r="P15" s="12"/>
      <c r="Q15" s="12"/>
      <c r="R15" s="12"/>
      <c r="S15" s="12"/>
      <c r="T15" s="12"/>
      <c r="U15" s="12"/>
      <c r="V15" s="12"/>
      <c r="W15" s="12"/>
      <c r="Y15" s="30"/>
      <c r="Z15" s="30"/>
      <c r="AA15" s="30"/>
      <c r="AB15" s="30"/>
      <c r="AC15" s="30"/>
      <c r="AD15" s="30"/>
      <c r="AE15" s="30"/>
    </row>
    <row r="16" ht="32.1" customHeight="1" spans="1:31">
      <c r="A16" s="12"/>
      <c r="B16" s="12"/>
      <c r="C16" s="12"/>
      <c r="D16" s="12"/>
      <c r="E16" s="12"/>
      <c r="F16" s="12"/>
      <c r="G16" s="12"/>
      <c r="H16" s="12"/>
      <c r="I16" s="12"/>
      <c r="J16" s="12"/>
      <c r="K16" s="12"/>
      <c r="M16" s="12"/>
      <c r="N16" s="12"/>
      <c r="O16" s="12"/>
      <c r="P16" s="12"/>
      <c r="Q16" s="12"/>
      <c r="R16" s="12"/>
      <c r="S16" s="12"/>
      <c r="T16" s="12"/>
      <c r="U16" s="12"/>
      <c r="V16" s="12"/>
      <c r="W16" s="12"/>
      <c r="Y16" s="30"/>
      <c r="Z16" s="30"/>
      <c r="AA16" s="30"/>
      <c r="AB16" s="30"/>
      <c r="AC16" s="30"/>
      <c r="AD16" s="30"/>
      <c r="AE16" s="30"/>
    </row>
    <row r="17" ht="32.1" customHeight="1" spans="1:31">
      <c r="A17" s="12"/>
      <c r="B17" s="12"/>
      <c r="C17" s="12"/>
      <c r="D17" s="12"/>
      <c r="E17" s="12"/>
      <c r="F17" s="12"/>
      <c r="G17" s="12"/>
      <c r="H17" s="12"/>
      <c r="I17" s="12"/>
      <c r="J17" s="12"/>
      <c r="K17" s="12"/>
      <c r="M17" s="12"/>
      <c r="N17" s="12"/>
      <c r="O17" s="12"/>
      <c r="P17" s="12"/>
      <c r="Q17" s="12"/>
      <c r="R17" s="12"/>
      <c r="S17" s="12"/>
      <c r="T17" s="12"/>
      <c r="U17" s="12"/>
      <c r="V17" s="12"/>
      <c r="W17" s="12"/>
      <c r="Y17" s="30"/>
      <c r="Z17" s="30"/>
      <c r="AA17" s="30"/>
      <c r="AB17" s="30"/>
      <c r="AC17" s="30"/>
      <c r="AD17" s="30"/>
      <c r="AE17" s="30"/>
    </row>
    <row r="18" ht="32.1" customHeight="1" spans="1:31">
      <c r="A18" s="12"/>
      <c r="B18" s="12"/>
      <c r="C18" s="12"/>
      <c r="D18" s="12"/>
      <c r="E18" s="12"/>
      <c r="F18" s="12"/>
      <c r="G18" s="12"/>
      <c r="H18" s="12"/>
      <c r="I18" s="12"/>
      <c r="J18" s="12"/>
      <c r="K18" s="12"/>
      <c r="M18" s="12"/>
      <c r="N18" s="12"/>
      <c r="O18" s="12"/>
      <c r="P18" s="12"/>
      <c r="Q18" s="12"/>
      <c r="R18" s="12"/>
      <c r="S18" s="12"/>
      <c r="T18" s="12"/>
      <c r="U18" s="12"/>
      <c r="V18" s="12"/>
      <c r="W18" s="12"/>
      <c r="Y18" s="30"/>
      <c r="Z18" s="30"/>
      <c r="AA18" s="30"/>
      <c r="AB18" s="30"/>
      <c r="AC18" s="30"/>
      <c r="AD18" s="30"/>
      <c r="AE18" s="30"/>
    </row>
    <row r="19" ht="32.1" customHeight="1" spans="1:31">
      <c r="A19" s="12"/>
      <c r="B19" s="12"/>
      <c r="C19" s="12"/>
      <c r="D19" s="12"/>
      <c r="E19" s="12"/>
      <c r="F19" s="12"/>
      <c r="G19" s="12"/>
      <c r="H19" s="12"/>
      <c r="I19" s="12"/>
      <c r="J19" s="12"/>
      <c r="K19" s="12"/>
      <c r="M19" s="12"/>
      <c r="N19" s="12"/>
      <c r="O19" s="12"/>
      <c r="P19" s="12"/>
      <c r="Q19" s="12"/>
      <c r="R19" s="12"/>
      <c r="S19" s="12"/>
      <c r="T19" s="12"/>
      <c r="U19" s="12"/>
      <c r="V19" s="12"/>
      <c r="W19" s="12"/>
      <c r="Y19" s="30"/>
      <c r="Z19" s="30"/>
      <c r="AA19" s="30"/>
      <c r="AB19" s="30"/>
      <c r="AC19" s="30"/>
      <c r="AD19" s="30"/>
      <c r="AE19" s="30"/>
    </row>
    <row r="20" ht="32.1" customHeight="1" spans="1:31">
      <c r="A20" s="12"/>
      <c r="B20" s="12"/>
      <c r="C20" s="12"/>
      <c r="D20" s="12"/>
      <c r="E20" s="12"/>
      <c r="F20" s="12"/>
      <c r="G20" s="12"/>
      <c r="H20" s="12"/>
      <c r="I20" s="12"/>
      <c r="J20" s="12"/>
      <c r="K20" s="12"/>
      <c r="M20" s="12"/>
      <c r="N20" s="12"/>
      <c r="O20" s="12"/>
      <c r="P20" s="12"/>
      <c r="Q20" s="12"/>
      <c r="R20" s="12"/>
      <c r="S20" s="12"/>
      <c r="T20" s="12"/>
      <c r="U20" s="12"/>
      <c r="V20" s="12"/>
      <c r="W20" s="12"/>
      <c r="Y20" s="30"/>
      <c r="Z20" s="30"/>
      <c r="AA20" s="30"/>
      <c r="AB20" s="30"/>
      <c r="AC20" s="30"/>
      <c r="AD20" s="30"/>
      <c r="AE20" s="30"/>
    </row>
    <row r="21" ht="32.1" customHeight="1" spans="1:31">
      <c r="A21" s="12"/>
      <c r="B21" s="12"/>
      <c r="C21" s="12"/>
      <c r="D21" s="12"/>
      <c r="E21" s="12"/>
      <c r="F21" s="12"/>
      <c r="G21" s="12"/>
      <c r="H21" s="12"/>
      <c r="I21" s="12"/>
      <c r="J21" s="12"/>
      <c r="K21" s="12"/>
      <c r="M21" s="12"/>
      <c r="N21" s="12"/>
      <c r="O21" s="12"/>
      <c r="P21" s="12"/>
      <c r="Q21" s="12"/>
      <c r="R21" s="12"/>
      <c r="S21" s="12"/>
      <c r="T21" s="12"/>
      <c r="U21" s="12"/>
      <c r="V21" s="12"/>
      <c r="W21" s="12"/>
      <c r="Y21" s="30"/>
      <c r="Z21" s="30"/>
      <c r="AA21" s="30"/>
      <c r="AB21" s="30"/>
      <c r="AC21" s="30"/>
      <c r="AD21" s="30"/>
      <c r="AE21" s="30"/>
    </row>
    <row r="22" ht="32.1" customHeight="1" spans="1:31">
      <c r="A22" s="12"/>
      <c r="B22" s="12"/>
      <c r="C22" s="12"/>
      <c r="D22" s="12"/>
      <c r="E22" s="12"/>
      <c r="F22" s="12"/>
      <c r="G22" s="12"/>
      <c r="H22" s="12"/>
      <c r="I22" s="12"/>
      <c r="J22" s="12"/>
      <c r="K22" s="12"/>
      <c r="M22" s="12"/>
      <c r="N22" s="12"/>
      <c r="O22" s="12"/>
      <c r="P22" s="12"/>
      <c r="Q22" s="12"/>
      <c r="R22" s="12"/>
      <c r="S22" s="12"/>
      <c r="T22" s="12"/>
      <c r="U22" s="12"/>
      <c r="V22" s="12"/>
      <c r="W22" s="12"/>
      <c r="Y22" s="30"/>
      <c r="Z22" s="30"/>
      <c r="AA22" s="30"/>
      <c r="AB22" s="30"/>
      <c r="AC22" s="30"/>
      <c r="AD22" s="30"/>
      <c r="AE22" s="30"/>
    </row>
    <row r="23" ht="32.1" customHeight="1" spans="1:31">
      <c r="A23" s="12"/>
      <c r="B23" s="12"/>
      <c r="C23" s="12"/>
      <c r="D23" s="12"/>
      <c r="E23" s="12"/>
      <c r="F23" s="12"/>
      <c r="G23" s="12"/>
      <c r="H23" s="12"/>
      <c r="I23" s="12"/>
      <c r="J23" s="12"/>
      <c r="K23" s="12"/>
      <c r="M23" s="12"/>
      <c r="N23" s="12"/>
      <c r="O23" s="12"/>
      <c r="P23" s="12"/>
      <c r="Q23" s="12"/>
      <c r="R23" s="12"/>
      <c r="S23" s="12"/>
      <c r="T23" s="12"/>
      <c r="U23" s="12"/>
      <c r="V23" s="12"/>
      <c r="W23" s="12"/>
      <c r="Y23" s="30"/>
      <c r="Z23" s="30"/>
      <c r="AA23" s="30"/>
      <c r="AB23" s="30"/>
      <c r="AC23" s="30"/>
      <c r="AD23" s="30"/>
      <c r="AE23" s="30"/>
    </row>
    <row r="24" ht="32.1" customHeight="1" spans="1:31">
      <c r="A24" s="12"/>
      <c r="B24" s="12"/>
      <c r="C24" s="12"/>
      <c r="D24" s="12"/>
      <c r="E24" s="12"/>
      <c r="F24" s="12"/>
      <c r="G24" s="12"/>
      <c r="H24" s="12"/>
      <c r="I24" s="12"/>
      <c r="J24" s="12"/>
      <c r="K24" s="12"/>
      <c r="M24" s="12"/>
      <c r="N24" s="12"/>
      <c r="O24" s="12"/>
      <c r="P24" s="12"/>
      <c r="Q24" s="12"/>
      <c r="R24" s="12"/>
      <c r="S24" s="12"/>
      <c r="T24" s="12"/>
      <c r="U24" s="12"/>
      <c r="V24" s="12"/>
      <c r="W24" s="12"/>
      <c r="Y24" s="30"/>
      <c r="Z24" s="30"/>
      <c r="AA24" s="30"/>
      <c r="AB24" s="30"/>
      <c r="AC24" s="30"/>
      <c r="AD24" s="30"/>
      <c r="AE24" s="30"/>
    </row>
    <row r="25" ht="32.1" customHeight="1" spans="1:31">
      <c r="A25" s="12"/>
      <c r="B25" s="12"/>
      <c r="C25" s="12"/>
      <c r="D25" s="12"/>
      <c r="E25" s="12"/>
      <c r="F25" s="12"/>
      <c r="G25" s="12"/>
      <c r="H25" s="12"/>
      <c r="I25" s="12"/>
      <c r="J25" s="12"/>
      <c r="K25" s="12"/>
      <c r="M25" s="12"/>
      <c r="N25" s="12"/>
      <c r="O25" s="12"/>
      <c r="P25" s="12"/>
      <c r="Q25" s="12"/>
      <c r="R25" s="12"/>
      <c r="S25" s="12"/>
      <c r="T25" s="12"/>
      <c r="U25" s="12"/>
      <c r="V25" s="12"/>
      <c r="W25" s="12"/>
      <c r="Y25" s="30"/>
      <c r="Z25" s="30"/>
      <c r="AA25" s="30"/>
      <c r="AB25" s="30"/>
      <c r="AC25" s="30"/>
      <c r="AD25" s="30"/>
      <c r="AE25" s="30"/>
    </row>
    <row r="26" ht="32.1" customHeight="1" spans="1:31">
      <c r="A26" s="12"/>
      <c r="B26" s="12"/>
      <c r="C26" s="12"/>
      <c r="D26" s="12"/>
      <c r="E26" s="12"/>
      <c r="F26" s="12"/>
      <c r="G26" s="12"/>
      <c r="H26" s="12"/>
      <c r="I26" s="12"/>
      <c r="J26" s="12"/>
      <c r="K26" s="12"/>
      <c r="M26" s="12"/>
      <c r="N26" s="12"/>
      <c r="O26" s="12"/>
      <c r="P26" s="12"/>
      <c r="Q26" s="12"/>
      <c r="R26" s="12"/>
      <c r="S26" s="12"/>
      <c r="T26" s="12"/>
      <c r="U26" s="12"/>
      <c r="V26" s="12"/>
      <c r="W26" s="12"/>
      <c r="Y26" s="30"/>
      <c r="Z26" s="30"/>
      <c r="AA26" s="30"/>
      <c r="AB26" s="30"/>
      <c r="AC26" s="30"/>
      <c r="AD26" s="30"/>
      <c r="AE26" s="30"/>
    </row>
    <row r="27" ht="32.1" customHeight="1" spans="1:31">
      <c r="A27" s="12"/>
      <c r="B27" s="12"/>
      <c r="C27" s="12"/>
      <c r="D27" s="12"/>
      <c r="E27" s="12"/>
      <c r="F27" s="12"/>
      <c r="G27" s="12"/>
      <c r="H27" s="12"/>
      <c r="I27" s="12"/>
      <c r="J27" s="12"/>
      <c r="K27" s="12"/>
      <c r="M27" s="12"/>
      <c r="N27" s="12"/>
      <c r="O27" s="12"/>
      <c r="P27" s="12"/>
      <c r="Q27" s="12"/>
      <c r="R27" s="12"/>
      <c r="S27" s="12"/>
      <c r="T27" s="12"/>
      <c r="U27" s="12"/>
      <c r="V27" s="12"/>
      <c r="W27" s="12"/>
      <c r="Y27" s="30"/>
      <c r="Z27" s="30"/>
      <c r="AA27" s="30"/>
      <c r="AB27" s="30"/>
      <c r="AC27" s="30"/>
      <c r="AD27" s="30"/>
      <c r="AE27" s="30"/>
    </row>
    <row r="28" spans="1:23">
      <c r="A28" s="140" t="s">
        <v>95</v>
      </c>
      <c r="B28" s="141"/>
      <c r="C28" s="141"/>
      <c r="D28" s="141"/>
      <c r="E28" s="141"/>
      <c r="F28" s="141"/>
      <c r="G28" s="141"/>
      <c r="H28" s="141"/>
      <c r="I28" s="141"/>
      <c r="J28" s="141"/>
      <c r="K28" s="57" t="str">
        <f>IF(COUNTIF(K30:K46,"="&amp;IncompleteText),IncompleteText,IF(COUNTIF(K30:K46,"="&amp;ErrorText),ErrorText,OKText))</f>
        <v>BLANK</v>
      </c>
      <c r="M28" s="140" t="s">
        <v>99</v>
      </c>
      <c r="N28" s="141"/>
      <c r="O28" s="141"/>
      <c r="P28" s="141"/>
      <c r="Q28" s="141"/>
      <c r="R28" s="141"/>
      <c r="S28" s="141"/>
      <c r="T28" s="141"/>
      <c r="U28" s="141"/>
      <c r="V28" s="141"/>
      <c r="W28" s="57" t="str">
        <f>IF(COUNTIF(W30:W43,"="&amp;IncompleteText),IncompleteText,IF(COUNTIF(W30:W43,"="&amp;ErrorText),ErrorText,OKText))</f>
        <v>BLANK</v>
      </c>
    </row>
    <row r="29" spans="1:23">
      <c r="A29" s="142" t="s">
        <v>100</v>
      </c>
      <c r="B29" s="143"/>
      <c r="C29" s="144"/>
      <c r="D29" s="144"/>
      <c r="E29" s="144"/>
      <c r="F29" s="144"/>
      <c r="G29" s="144"/>
      <c r="H29" s="144"/>
      <c r="I29" s="144"/>
      <c r="J29" s="144"/>
      <c r="K29" s="8"/>
      <c r="M29" s="142" t="s">
        <v>100</v>
      </c>
      <c r="N29" s="143"/>
      <c r="O29" s="144"/>
      <c r="P29" s="144"/>
      <c r="Q29" s="144"/>
      <c r="R29" s="144"/>
      <c r="S29" s="144"/>
      <c r="T29" s="144"/>
      <c r="U29" s="144"/>
      <c r="V29" s="144"/>
      <c r="W29" s="8"/>
    </row>
    <row r="30" spans="1:23">
      <c r="A30" s="145"/>
      <c r="B30" s="145"/>
      <c r="C30" s="5" t="s">
        <v>101</v>
      </c>
      <c r="D30" s="5"/>
      <c r="E30" s="5"/>
      <c r="F30" s="5"/>
      <c r="G30" s="5"/>
      <c r="H30" s="5"/>
      <c r="I30" s="17"/>
      <c r="J30" s="28"/>
      <c r="K30" s="6" t="str">
        <f t="shared" ref="K30:K42" si="0">IF(ISBLANK(J30),IncompleteText,IF(J30,OKText,ErrorText))</f>
        <v>BLANK</v>
      </c>
      <c r="M30" s="145"/>
      <c r="N30" s="145"/>
      <c r="O30" s="5" t="s">
        <v>102</v>
      </c>
      <c r="P30" s="5"/>
      <c r="Q30" s="5"/>
      <c r="R30" s="5"/>
      <c r="S30" s="5"/>
      <c r="T30" s="5"/>
      <c r="U30" s="17"/>
      <c r="V30" s="28"/>
      <c r="W30" s="6" t="str">
        <f t="shared" ref="W30:W40" si="1">IF(ISBLANK(V30),IncompleteText,IF(V30,OKText,ErrorText))</f>
        <v>BLANK</v>
      </c>
    </row>
    <row r="31" spans="1:23">
      <c r="A31" s="5"/>
      <c r="B31" s="5"/>
      <c r="C31" s="5" t="s">
        <v>103</v>
      </c>
      <c r="D31" s="5"/>
      <c r="E31" s="5"/>
      <c r="F31" s="5"/>
      <c r="G31" s="5"/>
      <c r="H31" s="5"/>
      <c r="I31" s="17"/>
      <c r="J31" s="28"/>
      <c r="K31" s="6" t="str">
        <f t="shared" si="0"/>
        <v>BLANK</v>
      </c>
      <c r="M31" s="5"/>
      <c r="N31" s="5"/>
      <c r="O31" s="5" t="s">
        <v>104</v>
      </c>
      <c r="P31" s="5"/>
      <c r="Q31" s="5"/>
      <c r="R31" s="5"/>
      <c r="S31" s="5"/>
      <c r="T31" s="5"/>
      <c r="U31" s="17"/>
      <c r="V31" s="28"/>
      <c r="W31" s="6" t="str">
        <f t="shared" si="1"/>
        <v>BLANK</v>
      </c>
    </row>
    <row r="32" spans="1:23">
      <c r="A32" s="5" t="s">
        <v>105</v>
      </c>
      <c r="B32" s="5"/>
      <c r="C32" s="5" t="s">
        <v>106</v>
      </c>
      <c r="D32" s="5"/>
      <c r="E32" s="5"/>
      <c r="F32" s="5"/>
      <c r="G32" s="5"/>
      <c r="H32" s="5"/>
      <c r="I32" s="17"/>
      <c r="J32" s="28"/>
      <c r="K32" s="6" t="str">
        <f t="shared" si="0"/>
        <v>BLANK</v>
      </c>
      <c r="M32" s="5"/>
      <c r="N32" s="5"/>
      <c r="O32" s="5" t="s">
        <v>107</v>
      </c>
      <c r="P32" s="5"/>
      <c r="Q32" s="5"/>
      <c r="R32" s="5"/>
      <c r="S32" s="5"/>
      <c r="T32" s="5"/>
      <c r="U32" s="17"/>
      <c r="V32" s="28"/>
      <c r="W32" s="6" t="str">
        <f t="shared" si="1"/>
        <v>BLANK</v>
      </c>
    </row>
    <row r="33" spans="1:23">
      <c r="A33" s="5"/>
      <c r="B33" s="5"/>
      <c r="C33" s="5" t="s">
        <v>108</v>
      </c>
      <c r="D33" s="5"/>
      <c r="E33" s="5"/>
      <c r="F33" s="5"/>
      <c r="G33" s="5"/>
      <c r="H33" s="5"/>
      <c r="I33" s="17"/>
      <c r="J33" s="28"/>
      <c r="K33" s="6" t="str">
        <f t="shared" si="0"/>
        <v>BLANK</v>
      </c>
      <c r="M33" s="5"/>
      <c r="N33" s="5"/>
      <c r="O33" s="87" t="s">
        <v>109</v>
      </c>
      <c r="P33" s="5"/>
      <c r="Q33" s="5"/>
      <c r="R33" s="5"/>
      <c r="S33" s="5"/>
      <c r="T33" s="5"/>
      <c r="U33" s="17"/>
      <c r="V33" s="28"/>
      <c r="W33" s="6" t="str">
        <f t="shared" si="1"/>
        <v>BLANK</v>
      </c>
    </row>
    <row r="34" spans="1:23">
      <c r="A34" s="5"/>
      <c r="B34" s="5"/>
      <c r="C34" s="5" t="s">
        <v>110</v>
      </c>
      <c r="D34" s="5"/>
      <c r="E34" s="5"/>
      <c r="F34" s="5"/>
      <c r="G34" s="5"/>
      <c r="H34" s="5"/>
      <c r="I34" s="17"/>
      <c r="J34" s="28"/>
      <c r="K34" s="6" t="str">
        <f t="shared" si="0"/>
        <v>BLANK</v>
      </c>
      <c r="M34" s="5"/>
      <c r="N34" s="5"/>
      <c r="O34" s="5" t="s">
        <v>111</v>
      </c>
      <c r="P34" s="5"/>
      <c r="Q34" s="5"/>
      <c r="R34" s="5"/>
      <c r="S34" s="5"/>
      <c r="T34" s="5"/>
      <c r="U34" s="17"/>
      <c r="V34" s="28"/>
      <c r="W34" s="6" t="str">
        <f t="shared" si="1"/>
        <v>BLANK</v>
      </c>
    </row>
    <row r="35" spans="1:23">
      <c r="A35" s="5" t="s">
        <v>112</v>
      </c>
      <c r="B35" s="5"/>
      <c r="C35" s="5" t="s">
        <v>113</v>
      </c>
      <c r="D35" s="5"/>
      <c r="E35" s="5"/>
      <c r="F35" s="5"/>
      <c r="G35" s="5"/>
      <c r="H35" s="5"/>
      <c r="I35" s="17"/>
      <c r="J35" s="28"/>
      <c r="K35" s="6" t="str">
        <f t="shared" si="0"/>
        <v>BLANK</v>
      </c>
      <c r="M35" s="5"/>
      <c r="N35" s="5"/>
      <c r="O35" s="5" t="s">
        <v>114</v>
      </c>
      <c r="P35" s="5"/>
      <c r="Q35" s="5"/>
      <c r="R35" s="5"/>
      <c r="S35" s="5"/>
      <c r="T35" s="5"/>
      <c r="U35" s="17"/>
      <c r="V35" s="28"/>
      <c r="W35" s="6" t="str">
        <f t="shared" si="1"/>
        <v>BLANK</v>
      </c>
    </row>
    <row r="36" spans="1:23">
      <c r="A36" s="5"/>
      <c r="B36" s="5"/>
      <c r="C36" s="5" t="s">
        <v>114</v>
      </c>
      <c r="D36" s="5"/>
      <c r="E36" s="5"/>
      <c r="F36" s="5"/>
      <c r="G36" s="5"/>
      <c r="H36" s="5"/>
      <c r="I36" s="17"/>
      <c r="J36" s="28"/>
      <c r="K36" s="6" t="str">
        <f t="shared" si="0"/>
        <v>BLANK</v>
      </c>
      <c r="M36" s="5"/>
      <c r="N36" s="5"/>
      <c r="O36" s="5" t="s">
        <v>115</v>
      </c>
      <c r="P36" s="5"/>
      <c r="Q36" s="5"/>
      <c r="R36" s="5"/>
      <c r="S36" s="5"/>
      <c r="T36" s="5"/>
      <c r="U36" s="17"/>
      <c r="V36" s="28"/>
      <c r="W36" s="6" t="str">
        <f t="shared" si="1"/>
        <v>BLANK</v>
      </c>
    </row>
    <row r="37" spans="1:23">
      <c r="A37" s="5"/>
      <c r="B37" s="5"/>
      <c r="C37" s="5" t="s">
        <v>115</v>
      </c>
      <c r="D37" s="5"/>
      <c r="E37" s="5"/>
      <c r="F37" s="5"/>
      <c r="G37" s="5"/>
      <c r="H37" s="5"/>
      <c r="I37" s="17"/>
      <c r="J37" s="28"/>
      <c r="K37" s="6" t="str">
        <f t="shared" si="0"/>
        <v>BLANK</v>
      </c>
      <c r="M37" s="5"/>
      <c r="N37" s="5"/>
      <c r="O37" s="5" t="s">
        <v>116</v>
      </c>
      <c r="P37" s="5"/>
      <c r="Q37" s="5"/>
      <c r="R37" s="5"/>
      <c r="S37" s="5"/>
      <c r="T37" s="5"/>
      <c r="U37" s="17"/>
      <c r="V37" s="28"/>
      <c r="W37" s="6" t="str">
        <f t="shared" si="1"/>
        <v>BLANK</v>
      </c>
    </row>
    <row r="38" spans="1:23">
      <c r="A38" s="5"/>
      <c r="B38" s="5"/>
      <c r="C38" s="5" t="s">
        <v>116</v>
      </c>
      <c r="D38" s="5"/>
      <c r="E38" s="5"/>
      <c r="F38" s="5"/>
      <c r="G38" s="5"/>
      <c r="H38" s="5"/>
      <c r="I38" s="17"/>
      <c r="J38" s="28"/>
      <c r="K38" s="6" t="str">
        <f t="shared" si="0"/>
        <v>BLANK</v>
      </c>
      <c r="M38" s="5" t="s">
        <v>117</v>
      </c>
      <c r="N38" s="5"/>
      <c r="O38" s="5" t="s">
        <v>118</v>
      </c>
      <c r="P38" s="5"/>
      <c r="Q38" s="5"/>
      <c r="R38" s="5"/>
      <c r="S38" s="5"/>
      <c r="T38" s="5"/>
      <c r="U38" s="17"/>
      <c r="V38" s="28"/>
      <c r="W38" s="6" t="str">
        <f t="shared" si="1"/>
        <v>BLANK</v>
      </c>
    </row>
    <row r="39" spans="1:23">
      <c r="A39" s="5" t="s">
        <v>119</v>
      </c>
      <c r="B39" s="5"/>
      <c r="C39" s="5" t="s">
        <v>120</v>
      </c>
      <c r="D39" s="5"/>
      <c r="E39" s="5"/>
      <c r="F39" s="5"/>
      <c r="G39" s="5"/>
      <c r="H39" s="5"/>
      <c r="I39" s="17"/>
      <c r="J39" s="28"/>
      <c r="K39" s="6" t="str">
        <f t="shared" si="0"/>
        <v>BLANK</v>
      </c>
      <c r="M39" s="5" t="s">
        <v>121</v>
      </c>
      <c r="N39" s="5"/>
      <c r="O39" s="5" t="s">
        <v>122</v>
      </c>
      <c r="P39" s="5"/>
      <c r="Q39" s="5"/>
      <c r="R39" s="5"/>
      <c r="S39" s="5"/>
      <c r="T39" s="5"/>
      <c r="U39" s="17"/>
      <c r="V39" s="28"/>
      <c r="W39" s="6" t="str">
        <f t="shared" si="1"/>
        <v>BLANK</v>
      </c>
    </row>
    <row r="40" spans="1:23">
      <c r="A40" s="5"/>
      <c r="B40" s="5"/>
      <c r="C40" s="5" t="s">
        <v>123</v>
      </c>
      <c r="D40" s="5"/>
      <c r="E40" s="5"/>
      <c r="F40" s="5"/>
      <c r="G40" s="5"/>
      <c r="H40" s="5"/>
      <c r="I40" s="17"/>
      <c r="J40" s="28"/>
      <c r="K40" s="6" t="str">
        <f t="shared" si="0"/>
        <v>BLANK</v>
      </c>
      <c r="M40" s="5"/>
      <c r="N40" s="5"/>
      <c r="O40" s="5" t="s">
        <v>124</v>
      </c>
      <c r="P40" s="5"/>
      <c r="Q40" s="5"/>
      <c r="R40" s="5"/>
      <c r="S40" s="5"/>
      <c r="T40" s="5"/>
      <c r="U40" s="17"/>
      <c r="V40" s="28"/>
      <c r="W40" s="6" t="str">
        <f t="shared" si="1"/>
        <v>BLANK</v>
      </c>
    </row>
    <row r="41" spans="1:23">
      <c r="A41" s="5"/>
      <c r="B41" s="5"/>
      <c r="C41" s="5" t="s">
        <v>125</v>
      </c>
      <c r="D41" s="5"/>
      <c r="E41" s="5"/>
      <c r="F41" s="5"/>
      <c r="G41" s="5"/>
      <c r="H41" s="5"/>
      <c r="I41" s="17"/>
      <c r="J41" s="28"/>
      <c r="K41" s="6" t="str">
        <f t="shared" si="0"/>
        <v>BLANK</v>
      </c>
      <c r="M41" s="5" t="s">
        <v>126</v>
      </c>
      <c r="N41" s="5"/>
      <c r="O41" s="5" t="s">
        <v>127</v>
      </c>
      <c r="P41" s="5"/>
      <c r="Q41" s="5"/>
      <c r="R41" s="5"/>
      <c r="S41" s="5"/>
      <c r="T41" s="5"/>
      <c r="U41" s="17"/>
      <c r="V41" s="28"/>
      <c r="W41" s="6" t="str">
        <f t="shared" ref="W41:W42" si="2">IF(ISBLANK(V41),IncompleteText,IF(V41,OKText,ErrorText))</f>
        <v>BLANK</v>
      </c>
    </row>
    <row r="42" spans="1:23">
      <c r="A42" s="5" t="s">
        <v>128</v>
      </c>
      <c r="B42" s="5"/>
      <c r="C42" s="5" t="s">
        <v>129</v>
      </c>
      <c r="D42" s="5"/>
      <c r="E42" s="5"/>
      <c r="F42" s="5"/>
      <c r="G42" s="5"/>
      <c r="H42" s="5"/>
      <c r="I42" s="17"/>
      <c r="J42" s="28"/>
      <c r="K42" s="6" t="str">
        <f t="shared" si="0"/>
        <v>BLANK</v>
      </c>
      <c r="M42" s="5" t="s">
        <v>130</v>
      </c>
      <c r="N42" s="5"/>
      <c r="O42" s="5" t="s">
        <v>131</v>
      </c>
      <c r="P42" s="5"/>
      <c r="Q42" s="5"/>
      <c r="R42" s="5"/>
      <c r="S42" s="5"/>
      <c r="T42" s="5"/>
      <c r="U42" s="17"/>
      <c r="V42" s="28"/>
      <c r="W42" s="6" t="str">
        <f t="shared" si="2"/>
        <v>BLANK</v>
      </c>
    </row>
    <row r="43" spans="1:23">
      <c r="A43" s="5" t="s">
        <v>132</v>
      </c>
      <c r="B43" s="5"/>
      <c r="C43" s="5" t="s">
        <v>133</v>
      </c>
      <c r="D43" s="5"/>
      <c r="E43" s="5"/>
      <c r="F43" s="5"/>
      <c r="G43" s="5"/>
      <c r="H43" s="5"/>
      <c r="I43" s="17"/>
      <c r="J43" s="28"/>
      <c r="K43" s="6" t="str">
        <f t="shared" ref="K43:K44" si="3">IF(ISBLANK(J43),IncompleteText,IF(J43,OKText,ErrorText))</f>
        <v>BLANK</v>
      </c>
      <c r="M43" s="5"/>
      <c r="N43" s="5"/>
      <c r="O43" s="5" t="s">
        <v>134</v>
      </c>
      <c r="P43" s="5"/>
      <c r="Q43" s="5"/>
      <c r="R43" s="5"/>
      <c r="S43" s="5"/>
      <c r="T43" s="5"/>
      <c r="U43" s="17"/>
      <c r="V43" s="28"/>
      <c r="W43" s="6" t="str">
        <f t="shared" ref="W43" si="4">IF(ISBLANK(V43),IncompleteText,IF(V43,OKText,ErrorText))</f>
        <v>BLANK</v>
      </c>
    </row>
    <row r="44" spans="1:11">
      <c r="A44" s="5" t="s">
        <v>135</v>
      </c>
      <c r="B44" s="5"/>
      <c r="C44" s="5" t="s">
        <v>136</v>
      </c>
      <c r="D44" s="5"/>
      <c r="E44" s="5"/>
      <c r="F44" s="5"/>
      <c r="G44" s="5"/>
      <c r="H44" s="5"/>
      <c r="I44" s="17"/>
      <c r="J44" s="28"/>
      <c r="K44" s="6" t="str">
        <f t="shared" si="3"/>
        <v>BLANK</v>
      </c>
    </row>
    <row r="45" spans="1:11">
      <c r="A45" s="5" t="s">
        <v>137</v>
      </c>
      <c r="B45" s="5"/>
      <c r="C45" s="5" t="s">
        <v>138</v>
      </c>
      <c r="D45" s="5"/>
      <c r="E45" s="5"/>
      <c r="F45" s="5"/>
      <c r="G45" s="5"/>
      <c r="H45" s="5"/>
      <c r="I45" s="17"/>
      <c r="J45" s="28"/>
      <c r="K45" s="6" t="str">
        <f t="shared" ref="K45" si="5">IF(ISBLANK(J45),IncompleteText,IF(J45,OKText,ErrorText))</f>
        <v>BLANK</v>
      </c>
    </row>
    <row r="46" spans="1:11">
      <c r="A46" s="5" t="s">
        <v>139</v>
      </c>
      <c r="B46" s="5"/>
      <c r="C46" s="5" t="s">
        <v>140</v>
      </c>
      <c r="D46" s="5"/>
      <c r="E46" s="5"/>
      <c r="F46" s="5"/>
      <c r="G46" s="5"/>
      <c r="H46" s="5"/>
      <c r="I46" s="17"/>
      <c r="J46" s="28"/>
      <c r="K46" s="6" t="str">
        <f t="shared" ref="K46" si="6">IF(ISBLANK(J46),IncompleteText,IF(J46,OKText,ErrorText))</f>
        <v>BLANK</v>
      </c>
    </row>
    <row r="48" spans="1:11">
      <c r="A48" s="140" t="s">
        <v>141</v>
      </c>
      <c r="B48" s="141"/>
      <c r="C48" s="141"/>
      <c r="D48" s="141"/>
      <c r="E48" s="141"/>
      <c r="F48" s="141"/>
      <c r="G48" s="141"/>
      <c r="H48" s="141"/>
      <c r="I48" s="141"/>
      <c r="J48" s="141"/>
      <c r="K48" s="8" t="str">
        <f>IF(COUNTIF(K50:K50,"="&amp;IncompleteText),IncompleteText,IF(COUNTIF(K50:K50,"="&amp;ErrorText),ErrorText,OKText))</f>
        <v>BLANK</v>
      </c>
    </row>
    <row r="49" spans="1:11">
      <c r="A49" s="142" t="s">
        <v>142</v>
      </c>
      <c r="B49" s="143"/>
      <c r="C49" s="144"/>
      <c r="D49" s="144"/>
      <c r="E49" s="144"/>
      <c r="F49" s="144"/>
      <c r="G49" s="144"/>
      <c r="H49" s="144"/>
      <c r="I49" s="144"/>
      <c r="J49" s="144"/>
      <c r="K49" s="8"/>
    </row>
    <row r="50" spans="1:11">
      <c r="A50" s="145" t="s">
        <v>143</v>
      </c>
      <c r="B50" s="145"/>
      <c r="C50" s="5" t="s">
        <v>144</v>
      </c>
      <c r="D50" s="5"/>
      <c r="E50" s="5"/>
      <c r="F50" s="5"/>
      <c r="G50" s="5"/>
      <c r="H50" s="5"/>
      <c r="I50" s="17"/>
      <c r="J50" s="28"/>
      <c r="K50" s="6" t="str">
        <f t="shared" ref="K50" si="7">IF(ISBLANK(J50),IncompleteText,IF(J50,OKText,ErrorText))</f>
        <v>BLANK</v>
      </c>
    </row>
  </sheetData>
  <sheetProtection algorithmName="SHA-512" hashValue="jdP7yWWg3lECelxIdHnago3X8f6y2SQPO7b0ei+Cz2yqLrqC7u7DGS+dRrMT/n0uuqkjKtFEirs+c+bw0OgyBA==" saltValue="LNkZZ101D6kmZ5DMkZ7dpQ==" spinCount="100000" sheet="1" selectLockedCells="1" insertHyperlinks="0" scenarios="1"/>
  <mergeCells count="77">
    <mergeCell ref="Y2:AE2"/>
    <mergeCell ref="A28:J28"/>
    <mergeCell ref="M28:V28"/>
    <mergeCell ref="A29:B29"/>
    <mergeCell ref="M29:N29"/>
    <mergeCell ref="A30:B30"/>
    <mergeCell ref="C30:I30"/>
    <mergeCell ref="M30:N30"/>
    <mergeCell ref="O30:U30"/>
    <mergeCell ref="A31:B31"/>
    <mergeCell ref="C31:I31"/>
    <mergeCell ref="M31:N31"/>
    <mergeCell ref="O31:U31"/>
    <mergeCell ref="A32:B32"/>
    <mergeCell ref="C32:I32"/>
    <mergeCell ref="M32:N32"/>
    <mergeCell ref="O32:U32"/>
    <mergeCell ref="A33:B33"/>
    <mergeCell ref="C33:I33"/>
    <mergeCell ref="M33:N33"/>
    <mergeCell ref="O33:U33"/>
    <mergeCell ref="A34:B34"/>
    <mergeCell ref="C34:I34"/>
    <mergeCell ref="M34:N34"/>
    <mergeCell ref="O34:U34"/>
    <mergeCell ref="A35:B35"/>
    <mergeCell ref="C35:I35"/>
    <mergeCell ref="M35:N35"/>
    <mergeCell ref="O35:U35"/>
    <mergeCell ref="A36:B36"/>
    <mergeCell ref="C36:I36"/>
    <mergeCell ref="M36:N36"/>
    <mergeCell ref="O36:U36"/>
    <mergeCell ref="A37:B37"/>
    <mergeCell ref="C37:I37"/>
    <mergeCell ref="M37:N37"/>
    <mergeCell ref="O37:U37"/>
    <mergeCell ref="A38:B38"/>
    <mergeCell ref="C38:I38"/>
    <mergeCell ref="M38:N38"/>
    <mergeCell ref="O38:U38"/>
    <mergeCell ref="A39:B39"/>
    <mergeCell ref="C39:I39"/>
    <mergeCell ref="M39:N39"/>
    <mergeCell ref="O39:U39"/>
    <mergeCell ref="A40:B40"/>
    <mergeCell ref="C40:I40"/>
    <mergeCell ref="M40:N40"/>
    <mergeCell ref="O40:U40"/>
    <mergeCell ref="A41:B41"/>
    <mergeCell ref="C41:I41"/>
    <mergeCell ref="M41:N41"/>
    <mergeCell ref="O41:U41"/>
    <mergeCell ref="A42:B42"/>
    <mergeCell ref="C42:I42"/>
    <mergeCell ref="M42:N42"/>
    <mergeCell ref="O42:U42"/>
    <mergeCell ref="A43:B43"/>
    <mergeCell ref="C43:I43"/>
    <mergeCell ref="M43:N43"/>
    <mergeCell ref="O43:U43"/>
    <mergeCell ref="A44:B44"/>
    <mergeCell ref="C44:I44"/>
    <mergeCell ref="A45:B45"/>
    <mergeCell ref="C45:I45"/>
    <mergeCell ref="A46:B46"/>
    <mergeCell ref="C46:I46"/>
    <mergeCell ref="A48:J48"/>
    <mergeCell ref="A49:B49"/>
    <mergeCell ref="A50:B50"/>
    <mergeCell ref="C50:I50"/>
    <mergeCell ref="K28:K29"/>
    <mergeCell ref="K48:K49"/>
    <mergeCell ref="W28:W29"/>
    <mergeCell ref="A2:K27"/>
    <mergeCell ref="Y3:AE27"/>
    <mergeCell ref="M2:W27"/>
  </mergeCells>
  <dataValidations count="1">
    <dataValidation type="list" allowBlank="1" showInputMessage="1" showErrorMessage="1" sqref="J50 J30:J46 V30:V46">
      <formula1>"TRUE,FALSE"</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98"/>
  <sheetViews>
    <sheetView workbookViewId="0">
      <selection activeCell="E3" sqref="E3"/>
    </sheetView>
  </sheetViews>
  <sheetFormatPr defaultColWidth="10.625" defaultRowHeight="14"/>
  <cols>
    <col min="1" max="1" width="14.25" customWidth="1"/>
    <col min="4" max="4" width="12.375" customWidth="1"/>
    <col min="5" max="5" width="15.875" customWidth="1"/>
    <col min="7" max="7" width="15.25" customWidth="1"/>
    <col min="8" max="8" width="16.75" customWidth="1"/>
    <col min="11" max="11" width="11.75" customWidth="1"/>
    <col min="14" max="14" width="16.75" customWidth="1"/>
    <col min="17" max="17" width="21.75" customWidth="1"/>
    <col min="26" max="26" width="10.625" customWidth="1"/>
  </cols>
  <sheetData>
    <row r="1" spans="1:2">
      <c r="A1" s="2" t="s">
        <v>23</v>
      </c>
      <c r="B1" s="6" t="str" cm="1">
        <f ca="1" t="array" ref="B1">IF(SUM(COUNTIF(INDIRECT({"$G$3","$G$4","$J$8","$Q$8","$W$8","$AD$8","$Z$52","$Q$52","$H$52","$F$61","$H$83"}),"="&amp;IncompleteText)),IncompleteText,IF(SUM(COUNTIF(INDIRECT({"$G$3","$G$4","$J$8","$Q$8","$W$8","$AD$8","$Z$52","$Q$52","$H$52","$F$61","$H$82"}),"="&amp;ErrorText)),ErrorText,OKText))</f>
        <v>BLANK</v>
      </c>
    </row>
    <row r="3" spans="1:7">
      <c r="A3" s="5" t="s">
        <v>145</v>
      </c>
      <c r="B3" s="5"/>
      <c r="C3" s="5"/>
      <c r="D3" s="17"/>
      <c r="E3" s="28"/>
      <c r="F3" s="5"/>
      <c r="G3" s="6" t="str">
        <f>IF(ISBLANK(E3),IncompleteText,OKText)</f>
        <v>BLANK</v>
      </c>
    </row>
    <row r="4" spans="1:7">
      <c r="A4" s="5" t="s">
        <v>17</v>
      </c>
      <c r="B4" s="5"/>
      <c r="C4" s="5"/>
      <c r="D4" s="17"/>
      <c r="E4" s="103" cm="1">
        <f t="array" ref="E4">IF(E3="串联 Serial",SUM(C12:C29)*BattCellMaxV,C12*BattCellMaxV*SUM(IF(FREQUENCY(E12:E29,E12:E29)&gt;0,1)))</f>
        <v>0</v>
      </c>
      <c r="F4" s="5" t="s">
        <v>18</v>
      </c>
      <c r="G4" s="6" t="str">
        <f>IF(MaxTSVoltage=0,IncompleteText,IF(E4&gt;600,ErrorText,OKText))</f>
        <v>BLANK</v>
      </c>
    </row>
    <row r="5" spans="1:7">
      <c r="A5" s="5" t="s">
        <v>146</v>
      </c>
      <c r="B5" s="5"/>
      <c r="C5" s="5"/>
      <c r="D5" s="17"/>
      <c r="E5" s="103" cm="1">
        <f t="array" ref="E5">IF(E3="串联 Serial",SUM(C12:C29)*BattCellNomV,C12*BattCellNomV*SUM(IF(FREQUENCY(E12:E29,E12:E29)&gt;0,1)))</f>
        <v>0</v>
      </c>
      <c r="F5" s="5" t="s">
        <v>18</v>
      </c>
      <c r="G5" s="6"/>
    </row>
    <row r="6" spans="1:7">
      <c r="A6" s="5" t="s">
        <v>147</v>
      </c>
      <c r="B6" s="5"/>
      <c r="C6" s="5"/>
      <c r="D6" s="17"/>
      <c r="E6" s="103">
        <f>SUMPRODUCT(B12:B29,C12:C29)</f>
        <v>0</v>
      </c>
      <c r="F6" s="5"/>
      <c r="G6" s="6"/>
    </row>
    <row r="8" spans="1:37">
      <c r="A8" s="7" t="s">
        <v>148</v>
      </c>
      <c r="B8" s="7"/>
      <c r="C8" s="7"/>
      <c r="D8" s="7"/>
      <c r="E8" s="7"/>
      <c r="F8" s="7"/>
      <c r="G8" s="7"/>
      <c r="H8" s="7"/>
      <c r="I8" s="7"/>
      <c r="J8" s="6" t="str">
        <f>IF(COUNTIF(J9:J29,"="&amp;IncompleteText),IncompleteText,IF(COUNTIF(J9:J29,"="&amp;ErrorText),ErrorText,OKText))</f>
        <v>BLANK</v>
      </c>
      <c r="K8" s="7" t="s">
        <v>149</v>
      </c>
      <c r="L8" s="7"/>
      <c r="M8" s="7"/>
      <c r="N8" s="7"/>
      <c r="O8" s="7"/>
      <c r="P8" s="7"/>
      <c r="Q8" s="6" t="str">
        <f>IF(COUNTIF(Q9:Q30,"="&amp;IncompleteText),IncompleteText,IF(COUNTIF(Q9:Q30,"="&amp;ErrorText),ErrorText,OKText))</f>
        <v>BLANK</v>
      </c>
      <c r="R8" s="7" t="s">
        <v>150</v>
      </c>
      <c r="S8" s="7"/>
      <c r="T8" s="7"/>
      <c r="U8" s="7"/>
      <c r="V8" s="7"/>
      <c r="W8" s="6" t="str">
        <f>IF(COUNTIF(W9:W21,"="&amp;IncompleteText),IncompleteText,IF(COUNTIF(W9:W21,"="&amp;ErrorText),ErrorText,OKText))</f>
        <v>BLANK</v>
      </c>
      <c r="X8" s="7" t="s">
        <v>151</v>
      </c>
      <c r="Y8" s="7"/>
      <c r="Z8" s="7"/>
      <c r="AA8" s="7"/>
      <c r="AB8" s="7"/>
      <c r="AC8" s="7"/>
      <c r="AD8" s="6" t="str">
        <f>IF(COUNTIF(AD9:AD18,"="&amp;IncompleteText),IncompleteText,IF(COUNTIF(AD9:AD18,"="&amp;ErrorText),ErrorText,OKText))</f>
        <v>BLANK</v>
      </c>
      <c r="AE8" s="68" t="s">
        <v>152</v>
      </c>
      <c r="AF8" s="36"/>
      <c r="AG8" s="36"/>
      <c r="AH8" s="36"/>
      <c r="AI8" s="36"/>
      <c r="AJ8" s="36"/>
      <c r="AK8" s="36"/>
    </row>
    <row r="9" s="50" customFormat="1" ht="35.25" customHeight="1" spans="1:37">
      <c r="A9" s="104" t="s">
        <v>153</v>
      </c>
      <c r="B9" s="104"/>
      <c r="C9" s="105"/>
      <c r="D9" s="106"/>
      <c r="E9" s="107"/>
      <c r="F9" s="10"/>
      <c r="G9" s="10"/>
      <c r="H9" s="10"/>
      <c r="I9" s="10"/>
      <c r="J9" s="8" t="str">
        <f>IF(ISBLANK(D9),IncompleteText,OKText)</f>
        <v>BLANK</v>
      </c>
      <c r="K9" s="104" t="s">
        <v>154</v>
      </c>
      <c r="L9" s="104"/>
      <c r="M9" s="104"/>
      <c r="N9" s="105"/>
      <c r="O9" s="119"/>
      <c r="P9" s="119"/>
      <c r="Q9" s="8" t="str">
        <f>IF(ISBLANK(O9),IncompleteText,OKText)</f>
        <v>BLANK</v>
      </c>
      <c r="R9" s="104" t="s">
        <v>155</v>
      </c>
      <c r="S9" s="104"/>
      <c r="T9" s="105"/>
      <c r="U9" s="106"/>
      <c r="V9" s="107"/>
      <c r="W9" s="8" t="str">
        <f>IF(ISBLANK(U9),IncompleteText,OKText)</f>
        <v>BLANK</v>
      </c>
      <c r="X9" s="126" t="s">
        <v>156</v>
      </c>
      <c r="Y9" s="126"/>
      <c r="Z9" s="126"/>
      <c r="AA9" s="133"/>
      <c r="AB9" s="119"/>
      <c r="AC9" s="119"/>
      <c r="AD9" s="8" t="str">
        <f>IF(ISBLANK(AB9),IncompleteText,OKText)</f>
        <v>BLANK</v>
      </c>
      <c r="AE9" s="90"/>
      <c r="AF9" s="90"/>
      <c r="AG9" s="90"/>
      <c r="AH9" s="90"/>
      <c r="AI9" s="90"/>
      <c r="AJ9" s="90"/>
      <c r="AK9" s="90"/>
    </row>
    <row r="10" spans="1:37">
      <c r="A10" s="21" t="s">
        <v>157</v>
      </c>
      <c r="B10" s="21" t="s">
        <v>158</v>
      </c>
      <c r="C10" s="21" t="s">
        <v>159</v>
      </c>
      <c r="D10" s="37" t="s">
        <v>160</v>
      </c>
      <c r="E10" s="37" t="s">
        <v>161</v>
      </c>
      <c r="F10" s="37" t="s">
        <v>162</v>
      </c>
      <c r="G10" s="37"/>
      <c r="H10" s="37" t="s">
        <v>163</v>
      </c>
      <c r="I10" s="37"/>
      <c r="J10" s="2"/>
      <c r="K10" s="15" t="s">
        <v>164</v>
      </c>
      <c r="L10" s="15"/>
      <c r="M10" s="15"/>
      <c r="N10" s="27"/>
      <c r="O10" s="20"/>
      <c r="P10" s="20"/>
      <c r="Q10" s="6" t="str">
        <f>IF(ISBLANK(O10),IncompleteText,OKText)</f>
        <v>BLANK</v>
      </c>
      <c r="R10" s="15" t="s">
        <v>165</v>
      </c>
      <c r="S10" s="15"/>
      <c r="T10" s="27"/>
      <c r="U10" s="34" t="e">
        <f>VLOOKUP(U9,ConnectorTable,3,FALSE)</f>
        <v>#N/A</v>
      </c>
      <c r="V10" s="5" t="s">
        <v>20</v>
      </c>
      <c r="W10" s="6" t="str">
        <f>IF(ISERROR(U10),IncompleteText,IF(E3="串联 Serial",IF(U10&gt;=U20,OKText,ErrorText),IF(E3="并联 Parallel",IF(U10&gt;=U12,OKText,ErrorText),IncompleteText)))</f>
        <v>BLANK</v>
      </c>
      <c r="X10" s="15" t="s">
        <v>166</v>
      </c>
      <c r="Y10" s="15"/>
      <c r="Z10" s="15"/>
      <c r="AA10" s="27"/>
      <c r="AB10" s="34" t="e">
        <f>VLOOKUP(AB9,InsulationsTable,4,FALSE)</f>
        <v>#N/A</v>
      </c>
      <c r="AC10" s="5" t="s">
        <v>18</v>
      </c>
      <c r="AD10" s="6" t="str">
        <f>IF(ISERROR(AB10),IncompleteText,IF(AB10&lt;MaxTSVoltage,ErrorText,OKText))</f>
        <v>BLANK</v>
      </c>
      <c r="AE10" s="90"/>
      <c r="AF10" s="90"/>
      <c r="AG10" s="90"/>
      <c r="AH10" s="90"/>
      <c r="AI10" s="90"/>
      <c r="AJ10" s="90"/>
      <c r="AK10" s="90"/>
    </row>
    <row r="11" spans="1:37">
      <c r="A11" s="21"/>
      <c r="B11" s="21"/>
      <c r="C11" s="21"/>
      <c r="D11" s="37"/>
      <c r="E11" s="37"/>
      <c r="F11" s="37"/>
      <c r="G11" s="37"/>
      <c r="H11" s="37"/>
      <c r="I11" s="37"/>
      <c r="J11" s="2"/>
      <c r="K11" s="15" t="s">
        <v>25</v>
      </c>
      <c r="L11" s="20"/>
      <c r="M11" s="20"/>
      <c r="N11" s="15" t="s">
        <v>167</v>
      </c>
      <c r="O11" s="20"/>
      <c r="P11" s="20"/>
      <c r="Q11" s="6" t="str">
        <f>IF(O10="供应商提供 From Suppliers",IF(OR(ISBLANK(L11),ISBLANK(O11)),IncompleteText,OKText),"")</f>
        <v/>
      </c>
      <c r="R11" s="15" t="s">
        <v>168</v>
      </c>
      <c r="S11" s="15"/>
      <c r="T11" s="27"/>
      <c r="U11" s="124"/>
      <c r="V11" s="125"/>
      <c r="W11" s="6" t="str">
        <f>IF(E3="串联 Serial","",IF(ISBLANK(U11),IncompleteText,OKText))</f>
        <v>BLANK</v>
      </c>
      <c r="X11" s="15" t="s">
        <v>169</v>
      </c>
      <c r="Y11" s="15"/>
      <c r="Z11" s="15"/>
      <c r="AA11" s="27"/>
      <c r="AB11" s="34" t="e">
        <f>VLOOKUP(AB9,InsulationsTable,5,FALSE)</f>
        <v>#N/A</v>
      </c>
      <c r="AC11" s="5" t="s">
        <v>35</v>
      </c>
      <c r="AD11" s="6" t="str">
        <f>IF(ISERROR(AB11),IncompleteText,IF(AB11&lt;90,ErrorText,OKText))</f>
        <v>BLANK</v>
      </c>
      <c r="AE11" s="90"/>
      <c r="AF11" s="90"/>
      <c r="AG11" s="90"/>
      <c r="AH11" s="90"/>
      <c r="AI11" s="90"/>
      <c r="AJ11" s="90"/>
      <c r="AK11" s="90"/>
    </row>
    <row r="12" spans="1:37">
      <c r="A12" s="15">
        <v>1</v>
      </c>
      <c r="B12" s="28"/>
      <c r="C12" s="28"/>
      <c r="D12" s="28"/>
      <c r="E12" s="28"/>
      <c r="F12" s="108">
        <f t="shared" ref="F12:F29" si="0">C12*BattCellMaxV</f>
        <v>0</v>
      </c>
      <c r="G12" s="108"/>
      <c r="H12" s="108">
        <f t="shared" ref="H12:H29" si="1">F12*B12*BattCellCapacity*0.0036</f>
        <v>0</v>
      </c>
      <c r="I12" s="108"/>
      <c r="J12" s="6" t="str">
        <f>IF(COUNTBLANK(A12:E12)&gt;0,IncompleteText,IF(OR(F12&gt;120,H12&gt;6),ErrorText,OKText))</f>
        <v>BLANK</v>
      </c>
      <c r="K12" s="21" t="s">
        <v>170</v>
      </c>
      <c r="L12" s="21"/>
      <c r="M12" s="21"/>
      <c r="N12" s="31"/>
      <c r="O12" s="28"/>
      <c r="P12" s="5" t="s">
        <v>18</v>
      </c>
      <c r="Q12" s="6" t="str">
        <f>IF(ISBLANK(O12),IncompleteText,IF(O12&lt;E4,ErrorText,OKText))</f>
        <v>BLANK</v>
      </c>
      <c r="R12" s="15" t="s">
        <v>171</v>
      </c>
      <c r="S12" s="15"/>
      <c r="T12" s="27"/>
      <c r="U12" s="34" t="e">
        <f>VLOOKUP(U11,FuseTable,3,FALSE)</f>
        <v>#N/A</v>
      </c>
      <c r="V12" s="5" t="s">
        <v>20</v>
      </c>
      <c r="W12" s="2"/>
      <c r="X12" s="15" t="s">
        <v>172</v>
      </c>
      <c r="Y12" s="15"/>
      <c r="Z12" s="15"/>
      <c r="AA12" s="27"/>
      <c r="AB12" s="20"/>
      <c r="AC12" s="20"/>
      <c r="AD12" s="6" t="str">
        <f>IF(ISBLANK(AB12),IncompleteText,OKText)</f>
        <v>BLANK</v>
      </c>
      <c r="AE12" s="90"/>
      <c r="AF12" s="90"/>
      <c r="AG12" s="90"/>
      <c r="AH12" s="90"/>
      <c r="AI12" s="90"/>
      <c r="AJ12" s="90"/>
      <c r="AK12" s="90"/>
    </row>
    <row r="13" spans="1:37">
      <c r="A13" s="15">
        <v>2</v>
      </c>
      <c r="B13" s="28"/>
      <c r="C13" s="28"/>
      <c r="D13" s="28"/>
      <c r="E13" s="28"/>
      <c r="F13" s="108">
        <f t="shared" si="0"/>
        <v>0</v>
      </c>
      <c r="G13" s="108"/>
      <c r="H13" s="108">
        <f t="shared" si="1"/>
        <v>0</v>
      </c>
      <c r="I13" s="108"/>
      <c r="J13" s="6" t="str">
        <f t="shared" ref="J13:J29" si="2">IF(COUNTBLANK(A13:E13)=4,"",IF(COUNTBLANK(A13:E13)&gt;0,IncompleteText,IF(OR(F13&gt;120,H13&gt;6),ErrorText,OKText)))</f>
        <v/>
      </c>
      <c r="K13" s="15" t="s">
        <v>173</v>
      </c>
      <c r="L13" s="15"/>
      <c r="M13" s="15"/>
      <c r="N13" s="27"/>
      <c r="O13" s="28"/>
      <c r="P13" s="5" t="s">
        <v>18</v>
      </c>
      <c r="Q13" s="6" t="str">
        <f>IF(ISBLANK(O13),IncompleteText,IF(O13&lt;MAX(F12:G29),ErrorText,OKText))</f>
        <v>BLANK</v>
      </c>
      <c r="R13" s="7" t="s">
        <v>174</v>
      </c>
      <c r="S13" s="7"/>
      <c r="T13" s="7"/>
      <c r="U13" s="7"/>
      <c r="V13" s="7"/>
      <c r="W13" s="2"/>
      <c r="X13" s="15" t="s">
        <v>166</v>
      </c>
      <c r="Y13" s="15"/>
      <c r="Z13" s="15"/>
      <c r="AA13" s="27"/>
      <c r="AB13" s="34" t="e">
        <f>VLOOKUP(AB12,InsulationsTable,4,FALSE)</f>
        <v>#N/A</v>
      </c>
      <c r="AC13" s="5" t="s">
        <v>18</v>
      </c>
      <c r="AD13" s="6" t="str">
        <f>IF(ISERROR(AB13),IncompleteText,IF(AB13&lt;MaxTSVoltage,ErrorText,OKText))</f>
        <v>BLANK</v>
      </c>
      <c r="AE13" s="90"/>
      <c r="AF13" s="90"/>
      <c r="AG13" s="90"/>
      <c r="AH13" s="90"/>
      <c r="AI13" s="90"/>
      <c r="AJ13" s="90"/>
      <c r="AK13" s="90"/>
    </row>
    <row r="14" spans="1:37">
      <c r="A14" s="15">
        <v>3</v>
      </c>
      <c r="B14" s="28"/>
      <c r="C14" s="28"/>
      <c r="D14" s="28"/>
      <c r="E14" s="28"/>
      <c r="F14" s="108">
        <f t="shared" si="0"/>
        <v>0</v>
      </c>
      <c r="G14" s="108"/>
      <c r="H14" s="108">
        <f t="shared" si="1"/>
        <v>0</v>
      </c>
      <c r="I14" s="108"/>
      <c r="J14" s="6" t="str">
        <f t="shared" si="2"/>
        <v/>
      </c>
      <c r="K14" s="15" t="s">
        <v>175</v>
      </c>
      <c r="L14" s="15"/>
      <c r="M14" s="15"/>
      <c r="N14" s="27"/>
      <c r="O14" s="18"/>
      <c r="P14" s="19"/>
      <c r="Q14" s="6" t="str">
        <f>IF($O$10="车队自制 Team design",IF(ISBLANK(O14),IncompleteText,OKText),"")</f>
        <v/>
      </c>
      <c r="R14" s="15" t="s">
        <v>176</v>
      </c>
      <c r="S14" s="15"/>
      <c r="T14" s="27"/>
      <c r="U14" s="124"/>
      <c r="V14" s="125"/>
      <c r="W14" s="6" t="str">
        <f>IF(ISBLANK(U14),IncompleteText,OKText)</f>
        <v>BLANK</v>
      </c>
      <c r="X14" s="15" t="s">
        <v>169</v>
      </c>
      <c r="Y14" s="15"/>
      <c r="Z14" s="15"/>
      <c r="AA14" s="27"/>
      <c r="AB14" s="34" t="e">
        <f>VLOOKUP(AB12,InsulationsTable,5,FALSE)</f>
        <v>#N/A</v>
      </c>
      <c r="AC14" s="5" t="s">
        <v>35</v>
      </c>
      <c r="AD14" s="6" t="str">
        <f>IF(ISERROR(AB14),IncompleteText,IF(AB14&lt;90,ErrorText,OKText))</f>
        <v>BLANK</v>
      </c>
      <c r="AE14" s="90"/>
      <c r="AF14" s="90"/>
      <c r="AG14" s="90"/>
      <c r="AH14" s="90"/>
      <c r="AI14" s="90"/>
      <c r="AJ14" s="90"/>
      <c r="AK14" s="90"/>
    </row>
    <row r="15" spans="1:37">
      <c r="A15" s="15">
        <v>4</v>
      </c>
      <c r="B15" s="28"/>
      <c r="C15" s="28"/>
      <c r="D15" s="28"/>
      <c r="E15" s="28"/>
      <c r="F15" s="108">
        <f t="shared" si="0"/>
        <v>0</v>
      </c>
      <c r="G15" s="108"/>
      <c r="H15" s="108">
        <f t="shared" si="1"/>
        <v>0</v>
      </c>
      <c r="I15" s="108"/>
      <c r="J15" s="6" t="str">
        <f t="shared" si="2"/>
        <v/>
      </c>
      <c r="K15" s="15" t="s">
        <v>177</v>
      </c>
      <c r="L15" s="15"/>
      <c r="M15" s="15"/>
      <c r="N15" s="27"/>
      <c r="O15" s="18"/>
      <c r="P15" s="19"/>
      <c r="Q15" s="6" t="str">
        <f>IF($O$10="车队自制 Team design",IF(ISBLANK(O15),IncompleteText,OKText),"")</f>
        <v/>
      </c>
      <c r="R15" s="15" t="s">
        <v>178</v>
      </c>
      <c r="S15" s="15"/>
      <c r="T15" s="27"/>
      <c r="U15" s="34" t="e">
        <f>VLOOKUP(U14,ContactorsTable,2,FALSE)</f>
        <v>#N/A</v>
      </c>
      <c r="V15" s="5" t="s">
        <v>179</v>
      </c>
      <c r="W15" s="6" t="str">
        <f>IF(ISERROR(U15),IncompleteText,IF(U15&lt;MaxTSVoltage,ErrorText,OKText))</f>
        <v>BLANK</v>
      </c>
      <c r="X15" s="15" t="s">
        <v>180</v>
      </c>
      <c r="Y15" s="15"/>
      <c r="Z15" s="15"/>
      <c r="AA15" s="27"/>
      <c r="AB15" s="18"/>
      <c r="AC15" s="19"/>
      <c r="AD15" s="6" t="str">
        <f>IF(ISBLANK(AB15),IncompleteText,OKText)</f>
        <v>BLANK</v>
      </c>
      <c r="AE15" s="90"/>
      <c r="AF15" s="90"/>
      <c r="AG15" s="90"/>
      <c r="AH15" s="90"/>
      <c r="AI15" s="90"/>
      <c r="AJ15" s="90"/>
      <c r="AK15" s="90"/>
    </row>
    <row r="16" spans="1:37">
      <c r="A16" s="15">
        <v>5</v>
      </c>
      <c r="B16" s="28"/>
      <c r="C16" s="28"/>
      <c r="D16" s="28"/>
      <c r="E16" s="28"/>
      <c r="F16" s="108">
        <f t="shared" si="0"/>
        <v>0</v>
      </c>
      <c r="G16" s="108"/>
      <c r="H16" s="108">
        <f t="shared" si="1"/>
        <v>0</v>
      </c>
      <c r="I16" s="108"/>
      <c r="J16" s="6" t="str">
        <f t="shared" si="2"/>
        <v/>
      </c>
      <c r="K16" s="44" t="s">
        <v>181</v>
      </c>
      <c r="L16" s="44"/>
      <c r="M16" s="44"/>
      <c r="N16" s="44"/>
      <c r="O16" s="44"/>
      <c r="P16" s="44"/>
      <c r="Q16" s="2"/>
      <c r="R16" s="15" t="s">
        <v>182</v>
      </c>
      <c r="S16" s="15"/>
      <c r="T16" s="27"/>
      <c r="U16" s="34" t="e">
        <f>VLOOKUP(U14,ContactorsTable,4,FALSE)</f>
        <v>#N/A</v>
      </c>
      <c r="V16" s="5" t="s">
        <v>20</v>
      </c>
      <c r="W16" s="2"/>
      <c r="X16" s="15" t="s">
        <v>166</v>
      </c>
      <c r="Y16" s="15"/>
      <c r="Z16" s="15"/>
      <c r="AA16" s="27"/>
      <c r="AB16" s="34" t="e">
        <f>VLOOKUP(AB15,InsulationsTable,4,FALSE)</f>
        <v>#N/A</v>
      </c>
      <c r="AC16" s="5" t="s">
        <v>18</v>
      </c>
      <c r="AD16" s="6" t="str">
        <f>IF(ISERROR(AB16),IncompleteText,IF(AB16&lt;MaxTSVoltage,ErrorText,OKText))</f>
        <v>BLANK</v>
      </c>
      <c r="AE16" s="90"/>
      <c r="AF16" s="90"/>
      <c r="AG16" s="90"/>
      <c r="AH16" s="90"/>
      <c r="AI16" s="90"/>
      <c r="AJ16" s="90"/>
      <c r="AK16" s="90"/>
    </row>
    <row r="17" spans="1:37">
      <c r="A17" s="15">
        <v>6</v>
      </c>
      <c r="B17" s="28"/>
      <c r="C17" s="28"/>
      <c r="D17" s="28"/>
      <c r="E17" s="28"/>
      <c r="F17" s="108">
        <f t="shared" si="0"/>
        <v>0</v>
      </c>
      <c r="G17" s="108"/>
      <c r="H17" s="108">
        <f t="shared" si="1"/>
        <v>0</v>
      </c>
      <c r="I17" s="108"/>
      <c r="J17" s="6" t="str">
        <f t="shared" si="2"/>
        <v/>
      </c>
      <c r="K17" s="15" t="s">
        <v>183</v>
      </c>
      <c r="L17" s="15"/>
      <c r="M17" s="15"/>
      <c r="N17" s="27"/>
      <c r="O17" s="28"/>
      <c r="P17" s="5" t="s">
        <v>184</v>
      </c>
      <c r="Q17" s="6" t="str">
        <f>IF(ISBLANK(O17),IncompleteText,OKText)</f>
        <v>BLANK</v>
      </c>
      <c r="R17" s="15" t="s">
        <v>185</v>
      </c>
      <c r="S17" s="15"/>
      <c r="T17" s="27"/>
      <c r="U17" s="34" t="e">
        <f>VLOOKUP(U14,ContactorsTable,3,FALSE)</f>
        <v>#N/A</v>
      </c>
      <c r="V17" s="5" t="s">
        <v>20</v>
      </c>
      <c r="W17" s="6" t="str">
        <f>IF(ISERROR(U17),IncompleteText,IF(U17&gt;=U20,OKText,ErrorText))</f>
        <v>BLANK</v>
      </c>
      <c r="X17" s="15" t="s">
        <v>169</v>
      </c>
      <c r="Y17" s="15"/>
      <c r="Z17" s="15"/>
      <c r="AA17" s="27"/>
      <c r="AB17" s="34" t="e">
        <f>VLOOKUP(AB15,InsulationsTable,5,FALSE)</f>
        <v>#N/A</v>
      </c>
      <c r="AC17" s="5" t="s">
        <v>35</v>
      </c>
      <c r="AD17" s="6" t="str">
        <f>IF(ISERROR(AB17),IncompleteText,IF(AB17&lt;90,ErrorText,OKText))</f>
        <v>BLANK</v>
      </c>
      <c r="AE17" s="90"/>
      <c r="AF17" s="90"/>
      <c r="AG17" s="90"/>
      <c r="AH17" s="90"/>
      <c r="AI17" s="90"/>
      <c r="AJ17" s="90"/>
      <c r="AK17" s="90"/>
    </row>
    <row r="18" spans="1:37">
      <c r="A18" s="15">
        <v>7</v>
      </c>
      <c r="B18" s="28"/>
      <c r="C18" s="28"/>
      <c r="D18" s="28"/>
      <c r="E18" s="28"/>
      <c r="F18" s="108">
        <f t="shared" si="0"/>
        <v>0</v>
      </c>
      <c r="G18" s="108"/>
      <c r="H18" s="108">
        <f t="shared" si="1"/>
        <v>0</v>
      </c>
      <c r="I18" s="108"/>
      <c r="J18" s="6" t="str">
        <f t="shared" si="2"/>
        <v/>
      </c>
      <c r="K18" s="15" t="s">
        <v>186</v>
      </c>
      <c r="L18" s="15"/>
      <c r="M18" s="15"/>
      <c r="N18" s="27"/>
      <c r="O18" s="20"/>
      <c r="P18" s="20"/>
      <c r="Q18" s="6" t="str">
        <f>IF(ISBLANK(O18),IncompleteText,OKText)</f>
        <v>BLANK</v>
      </c>
      <c r="R18" s="68" t="s">
        <v>187</v>
      </c>
      <c r="S18" s="36"/>
      <c r="T18" s="36"/>
      <c r="U18" s="36"/>
      <c r="V18" s="36"/>
      <c r="W18" s="2"/>
      <c r="X18" s="15" t="s">
        <v>188</v>
      </c>
      <c r="Y18" s="15"/>
      <c r="Z18" s="15"/>
      <c r="AA18" s="27"/>
      <c r="AB18" s="34" t="e">
        <f>VLOOKUP(AB15,InsulationsTable,6,FALSE)</f>
        <v>#N/A</v>
      </c>
      <c r="AC18" s="5"/>
      <c r="AD18" s="6" t="str">
        <f>IF(ISNA(AB18),IncompleteText,OKText)</f>
        <v>BLANK</v>
      </c>
      <c r="AE18" s="90"/>
      <c r="AF18" s="90"/>
      <c r="AG18" s="90"/>
      <c r="AH18" s="90"/>
      <c r="AI18" s="90"/>
      <c r="AJ18" s="90"/>
      <c r="AK18" s="90"/>
    </row>
    <row r="19" spans="1:37">
      <c r="A19" s="15">
        <v>8</v>
      </c>
      <c r="B19" s="28"/>
      <c r="C19" s="28"/>
      <c r="D19" s="28"/>
      <c r="E19" s="28"/>
      <c r="F19" s="108">
        <f t="shared" si="0"/>
        <v>0</v>
      </c>
      <c r="G19" s="108"/>
      <c r="H19" s="108">
        <f t="shared" si="1"/>
        <v>0</v>
      </c>
      <c r="I19" s="108"/>
      <c r="J19" s="6" t="str">
        <f t="shared" si="2"/>
        <v/>
      </c>
      <c r="K19" s="15" t="s">
        <v>189</v>
      </c>
      <c r="L19" s="15"/>
      <c r="M19" s="15"/>
      <c r="N19" s="27"/>
      <c r="O19" s="20"/>
      <c r="P19" s="20"/>
      <c r="Q19" s="6" t="str">
        <f>IF(ISBLANK(O19),IncompleteText,OKText)</f>
        <v>BLANK</v>
      </c>
      <c r="R19" s="67" t="s">
        <v>187</v>
      </c>
      <c r="S19" s="67"/>
      <c r="T19" s="127"/>
      <c r="U19" s="124"/>
      <c r="V19" s="125"/>
      <c r="W19" s="6" t="str">
        <f>IF(ISBLANK(U19),IncompleteText,OKText)</f>
        <v>BLANK</v>
      </c>
      <c r="AE19" s="90"/>
      <c r="AF19" s="90"/>
      <c r="AG19" s="90"/>
      <c r="AH19" s="90"/>
      <c r="AI19" s="90"/>
      <c r="AJ19" s="90"/>
      <c r="AK19" s="90"/>
    </row>
    <row r="20" spans="1:37">
      <c r="A20" s="15">
        <v>9</v>
      </c>
      <c r="B20" s="28"/>
      <c r="C20" s="28"/>
      <c r="D20" s="28"/>
      <c r="E20" s="28"/>
      <c r="F20" s="108">
        <f t="shared" si="0"/>
        <v>0</v>
      </c>
      <c r="G20" s="108"/>
      <c r="H20" s="108">
        <f t="shared" si="1"/>
        <v>0</v>
      </c>
      <c r="I20" s="108"/>
      <c r="J20" s="6" t="str">
        <f t="shared" si="2"/>
        <v/>
      </c>
      <c r="K20" s="120" t="s">
        <v>190</v>
      </c>
      <c r="L20" s="121"/>
      <c r="M20" s="121"/>
      <c r="N20" s="122"/>
      <c r="O20" s="46"/>
      <c r="P20" s="46"/>
      <c r="Q20" s="6" t="str">
        <f>IF(O19="其他 Other",IF(ISBLANK(O20),IncompleteText,OKText),"")</f>
        <v/>
      </c>
      <c r="R20" s="15" t="s">
        <v>191</v>
      </c>
      <c r="S20" s="15"/>
      <c r="T20" s="27"/>
      <c r="U20" s="34" t="e">
        <f>VLOOKUP(U19,FuseTable,3,FALSE)</f>
        <v>#N/A</v>
      </c>
      <c r="V20" s="5" t="s">
        <v>20</v>
      </c>
      <c r="W20" s="2"/>
      <c r="AE20" s="90"/>
      <c r="AF20" s="90"/>
      <c r="AG20" s="90"/>
      <c r="AH20" s="90"/>
      <c r="AI20" s="90"/>
      <c r="AJ20" s="90"/>
      <c r="AK20" s="90"/>
    </row>
    <row r="21" spans="1:37">
      <c r="A21" s="15">
        <v>10</v>
      </c>
      <c r="B21" s="28"/>
      <c r="C21" s="28"/>
      <c r="D21" s="28"/>
      <c r="E21" s="28"/>
      <c r="F21" s="108">
        <f t="shared" si="0"/>
        <v>0</v>
      </c>
      <c r="G21" s="108"/>
      <c r="H21" s="108">
        <f t="shared" si="1"/>
        <v>0</v>
      </c>
      <c r="I21" s="108"/>
      <c r="J21" s="6" t="str">
        <f t="shared" si="2"/>
        <v/>
      </c>
      <c r="K21" s="15" t="s">
        <v>192</v>
      </c>
      <c r="L21" s="15"/>
      <c r="M21" s="15"/>
      <c r="N21" s="27"/>
      <c r="O21" s="123" t="e">
        <f>VLOOKUP(O18,FuseTable,2,FALSE)</f>
        <v>#N/A</v>
      </c>
      <c r="P21" s="123"/>
      <c r="Q21" s="6" t="str">
        <f>IF(ISERROR(O21),IncompleteText,IF(AND(O21&lt;MAX(F12:G29),O9="集中式 Centralized"),ErrorText,OKText))</f>
        <v>BLANK</v>
      </c>
      <c r="R21" s="15" t="s">
        <v>193</v>
      </c>
      <c r="S21" s="15"/>
      <c r="T21" s="27"/>
      <c r="U21" s="34" t="e">
        <f>VLOOKUP(U19,FuseTable,2,FALSE)</f>
        <v>#N/A</v>
      </c>
      <c r="V21" s="5" t="s">
        <v>18</v>
      </c>
      <c r="W21" s="6" t="e">
        <f>IF(U21&lt;MaxTSVoltage,ErrorText,OKText)</f>
        <v>#N/A</v>
      </c>
      <c r="AE21" s="90"/>
      <c r="AF21" s="90"/>
      <c r="AG21" s="90"/>
      <c r="AH21" s="90"/>
      <c r="AI21" s="90"/>
      <c r="AJ21" s="90"/>
      <c r="AK21" s="90"/>
    </row>
    <row r="22" spans="1:37">
      <c r="A22" s="15">
        <v>11</v>
      </c>
      <c r="B22" s="28"/>
      <c r="C22" s="28"/>
      <c r="D22" s="28"/>
      <c r="E22" s="28"/>
      <c r="F22" s="108">
        <f t="shared" si="0"/>
        <v>0</v>
      </c>
      <c r="G22" s="108"/>
      <c r="H22" s="108">
        <f t="shared" si="1"/>
        <v>0</v>
      </c>
      <c r="I22" s="108"/>
      <c r="J22" s="6" t="str">
        <f t="shared" si="2"/>
        <v/>
      </c>
      <c r="K22" s="44" t="s">
        <v>194</v>
      </c>
      <c r="L22" s="44"/>
      <c r="M22" s="44"/>
      <c r="N22" s="44"/>
      <c r="O22" s="44"/>
      <c r="P22" s="44"/>
      <c r="Q22" s="2"/>
      <c r="AE22" s="90"/>
      <c r="AF22" s="90"/>
      <c r="AG22" s="90"/>
      <c r="AH22" s="90"/>
      <c r="AI22" s="90"/>
      <c r="AJ22" s="90"/>
      <c r="AK22" s="90"/>
    </row>
    <row r="23" spans="1:37">
      <c r="A23" s="15">
        <v>12</v>
      </c>
      <c r="B23" s="28"/>
      <c r="C23" s="28"/>
      <c r="D23" s="28"/>
      <c r="E23" s="28"/>
      <c r="F23" s="108">
        <f t="shared" si="0"/>
        <v>0</v>
      </c>
      <c r="G23" s="108"/>
      <c r="H23" s="108">
        <f t="shared" si="1"/>
        <v>0</v>
      </c>
      <c r="I23" s="108"/>
      <c r="J23" s="6" t="str">
        <f t="shared" si="2"/>
        <v/>
      </c>
      <c r="K23" s="15" t="s">
        <v>195</v>
      </c>
      <c r="L23" s="15"/>
      <c r="M23" s="15"/>
      <c r="N23" s="27"/>
      <c r="O23" s="124"/>
      <c r="P23" s="125"/>
      <c r="Q23" s="6" t="str">
        <f>IF(ISBLANK(O23),IncompleteText,OKText)</f>
        <v>BLANK</v>
      </c>
      <c r="AE23" s="90"/>
      <c r="AF23" s="90"/>
      <c r="AG23" s="90"/>
      <c r="AH23" s="90"/>
      <c r="AI23" s="90"/>
      <c r="AJ23" s="90"/>
      <c r="AK23" s="90"/>
    </row>
    <row r="24" spans="1:37">
      <c r="A24" s="15">
        <v>13</v>
      </c>
      <c r="B24" s="28"/>
      <c r="C24" s="28"/>
      <c r="D24" s="28"/>
      <c r="E24" s="28"/>
      <c r="F24" s="108">
        <f t="shared" si="0"/>
        <v>0</v>
      </c>
      <c r="G24" s="108"/>
      <c r="H24" s="108">
        <f t="shared" si="1"/>
        <v>0</v>
      </c>
      <c r="I24" s="108"/>
      <c r="J24" s="6" t="str">
        <f t="shared" si="2"/>
        <v/>
      </c>
      <c r="K24" s="15" t="s">
        <v>196</v>
      </c>
      <c r="L24" s="15"/>
      <c r="M24" s="15"/>
      <c r="N24" s="27"/>
      <c r="O24" s="28"/>
      <c r="P24" s="5" t="s">
        <v>197</v>
      </c>
      <c r="Q24" s="6" t="str">
        <f>IF(O23="极耳 Cell tabs","",IF(ISBLANK(O24),IncompleteText,IF(O24&lt;10,OKText,ErrorText)))</f>
        <v>BLANK</v>
      </c>
      <c r="AE24" s="90"/>
      <c r="AF24" s="90"/>
      <c r="AG24" s="90"/>
      <c r="AH24" s="90"/>
      <c r="AI24" s="90"/>
      <c r="AJ24" s="90"/>
      <c r="AK24" s="90"/>
    </row>
    <row r="25" spans="1:37">
      <c r="A25" s="15">
        <v>14</v>
      </c>
      <c r="B25" s="28"/>
      <c r="C25" s="28"/>
      <c r="D25" s="28"/>
      <c r="E25" s="28"/>
      <c r="F25" s="108">
        <f t="shared" si="0"/>
        <v>0</v>
      </c>
      <c r="G25" s="108"/>
      <c r="H25" s="108">
        <f t="shared" si="1"/>
        <v>0</v>
      </c>
      <c r="I25" s="108"/>
      <c r="J25" s="6" t="str">
        <f t="shared" si="2"/>
        <v/>
      </c>
      <c r="K25" s="15" t="s">
        <v>198</v>
      </c>
      <c r="L25" s="15"/>
      <c r="M25" s="15"/>
      <c r="N25" s="27"/>
      <c r="O25" s="28"/>
      <c r="P25" s="5" t="s">
        <v>199</v>
      </c>
      <c r="Q25" s="6" t="str">
        <f>IF(ISBLANK(O25),IncompleteText,OKText)</f>
        <v>BLANK</v>
      </c>
      <c r="AE25" s="90"/>
      <c r="AF25" s="90"/>
      <c r="AG25" s="90"/>
      <c r="AH25" s="90"/>
      <c r="AI25" s="90"/>
      <c r="AJ25" s="90"/>
      <c r="AK25" s="90"/>
    </row>
    <row r="26" spans="1:37">
      <c r="A26" s="15">
        <v>15</v>
      </c>
      <c r="B26" s="28"/>
      <c r="C26" s="28"/>
      <c r="D26" s="28"/>
      <c r="E26" s="28"/>
      <c r="F26" s="108">
        <f t="shared" si="0"/>
        <v>0</v>
      </c>
      <c r="G26" s="108"/>
      <c r="H26" s="108">
        <f t="shared" si="1"/>
        <v>0</v>
      </c>
      <c r="I26" s="108"/>
      <c r="J26" s="6" t="str">
        <f t="shared" si="2"/>
        <v/>
      </c>
      <c r="K26" s="15" t="s">
        <v>200</v>
      </c>
      <c r="L26" s="15"/>
      <c r="M26" s="15"/>
      <c r="N26" s="27"/>
      <c r="O26" s="124"/>
      <c r="P26" s="125"/>
      <c r="Q26" s="2"/>
      <c r="AE26" s="90"/>
      <c r="AF26" s="90"/>
      <c r="AG26" s="90"/>
      <c r="AH26" s="90"/>
      <c r="AI26" s="90"/>
      <c r="AJ26" s="90"/>
      <c r="AK26" s="90"/>
    </row>
    <row r="27" spans="1:37">
      <c r="A27" s="15">
        <v>16</v>
      </c>
      <c r="B27" s="28"/>
      <c r="C27" s="28"/>
      <c r="D27" s="28"/>
      <c r="E27" s="28"/>
      <c r="F27" s="108">
        <f t="shared" si="0"/>
        <v>0</v>
      </c>
      <c r="G27" s="108"/>
      <c r="H27" s="108">
        <f t="shared" si="1"/>
        <v>0</v>
      </c>
      <c r="I27" s="108"/>
      <c r="J27" s="6" t="str">
        <f t="shared" si="2"/>
        <v/>
      </c>
      <c r="K27" s="15" t="s">
        <v>201</v>
      </c>
      <c r="L27" s="15"/>
      <c r="M27" s="15"/>
      <c r="N27" s="27"/>
      <c r="O27" s="124"/>
      <c r="P27" s="125"/>
      <c r="Q27" s="6" t="str">
        <f>IF(ISBLANK($O$26),"",IF(ISBLANK(O27),IncompleteText,OKText))</f>
        <v/>
      </c>
      <c r="AE27" s="90"/>
      <c r="AF27" s="90"/>
      <c r="AG27" s="90"/>
      <c r="AH27" s="90"/>
      <c r="AI27" s="90"/>
      <c r="AJ27" s="90"/>
      <c r="AK27" s="90"/>
    </row>
    <row r="28" spans="1:37">
      <c r="A28" s="15">
        <v>17</v>
      </c>
      <c r="B28" s="28"/>
      <c r="C28" s="28"/>
      <c r="D28" s="28"/>
      <c r="E28" s="28"/>
      <c r="F28" s="108">
        <f t="shared" si="0"/>
        <v>0</v>
      </c>
      <c r="G28" s="108"/>
      <c r="H28" s="108">
        <f t="shared" si="1"/>
        <v>0</v>
      </c>
      <c r="I28" s="108"/>
      <c r="J28" s="6" t="str">
        <f t="shared" si="2"/>
        <v/>
      </c>
      <c r="K28" s="15" t="s">
        <v>202</v>
      </c>
      <c r="L28" s="15"/>
      <c r="M28" s="15"/>
      <c r="N28" s="27"/>
      <c r="O28" s="28"/>
      <c r="P28" s="5" t="s">
        <v>203</v>
      </c>
      <c r="Q28" s="6" t="str">
        <f>IF(ISBLANK($O$26),"",IF(ISBLANK(O28),IncompleteText,OKText))</f>
        <v/>
      </c>
      <c r="AE28" s="90"/>
      <c r="AF28" s="90"/>
      <c r="AG28" s="90"/>
      <c r="AH28" s="90"/>
      <c r="AI28" s="90"/>
      <c r="AJ28" s="90"/>
      <c r="AK28" s="90"/>
    </row>
    <row r="29" spans="1:37">
      <c r="A29" s="15">
        <v>18</v>
      </c>
      <c r="B29" s="28"/>
      <c r="C29" s="28"/>
      <c r="D29" s="28"/>
      <c r="E29" s="28"/>
      <c r="F29" s="108">
        <f t="shared" si="0"/>
        <v>0</v>
      </c>
      <c r="G29" s="108"/>
      <c r="H29" s="108">
        <f t="shared" si="1"/>
        <v>0</v>
      </c>
      <c r="I29" s="108"/>
      <c r="J29" s="6" t="str">
        <f t="shared" si="2"/>
        <v/>
      </c>
      <c r="K29" s="15" t="s">
        <v>204</v>
      </c>
      <c r="L29" s="15"/>
      <c r="M29" s="15"/>
      <c r="N29" s="27"/>
      <c r="O29" s="28"/>
      <c r="P29" s="5" t="s">
        <v>197</v>
      </c>
      <c r="Q29" s="6" t="str">
        <f>IF(ISBLANK($O$26),"",IF(ISBLANK(O29),IncompleteText,OKText))</f>
        <v/>
      </c>
      <c r="AE29" s="90"/>
      <c r="AF29" s="90"/>
      <c r="AG29" s="90"/>
      <c r="AH29" s="90"/>
      <c r="AI29" s="90"/>
      <c r="AJ29" s="90"/>
      <c r="AK29" s="90"/>
    </row>
    <row r="30" spans="11:17">
      <c r="K30" s="15" t="s">
        <v>205</v>
      </c>
      <c r="L30" s="15"/>
      <c r="M30" s="15"/>
      <c r="N30" s="27"/>
      <c r="O30" s="103" t="e">
        <f>SUMIF(J12:J29,"=OK",D12:D29)*CellsPerTempSensor/TotalCells*100</f>
        <v>#DIV/0!</v>
      </c>
      <c r="P30" s="5" t="s">
        <v>206</v>
      </c>
      <c r="Q30" s="6" t="str">
        <f>IF(ISERROR(O30),IncompleteText,IF(O30&lt;20,ErrorText,OKText))</f>
        <v>BLANK</v>
      </c>
    </row>
    <row r="33" spans="1:53">
      <c r="A33" s="12" t="s">
        <v>207</v>
      </c>
      <c r="B33" s="12"/>
      <c r="C33" s="12"/>
      <c r="D33" s="12"/>
      <c r="E33" s="12"/>
      <c r="F33" s="12"/>
      <c r="G33" s="12"/>
      <c r="H33" s="12"/>
      <c r="J33" s="14" t="s">
        <v>208</v>
      </c>
      <c r="K33" s="12"/>
      <c r="L33" s="12"/>
      <c r="M33" s="12"/>
      <c r="N33" s="12"/>
      <c r="O33" s="12"/>
      <c r="P33" s="12"/>
      <c r="Q33" s="12"/>
      <c r="S33" s="12" t="s">
        <v>209</v>
      </c>
      <c r="T33" s="12"/>
      <c r="U33" s="12"/>
      <c r="V33" s="12"/>
      <c r="W33" s="12"/>
      <c r="X33" s="12"/>
      <c r="Y33" s="12"/>
      <c r="Z33" s="12"/>
      <c r="AB33" s="12" t="s">
        <v>210</v>
      </c>
      <c r="AC33" s="12"/>
      <c r="AD33" s="12"/>
      <c r="AE33" s="12"/>
      <c r="AF33" s="12"/>
      <c r="AG33" s="12"/>
      <c r="AH33" s="12"/>
      <c r="AI33" s="12"/>
      <c r="AK33" s="32" t="s">
        <v>211</v>
      </c>
      <c r="AL33" s="32"/>
      <c r="AM33" s="32"/>
      <c r="AN33" s="32"/>
      <c r="AO33" s="32"/>
      <c r="AP33" s="32"/>
      <c r="AQ33" s="32"/>
      <c r="AR33" s="32"/>
      <c r="AT33" s="12" t="s">
        <v>212</v>
      </c>
      <c r="AU33" s="12"/>
      <c r="AV33" s="12"/>
      <c r="AW33" s="12"/>
      <c r="AX33" s="12"/>
      <c r="AY33" s="12"/>
      <c r="AZ33" s="12"/>
      <c r="BA33" s="12"/>
    </row>
    <row r="34" spans="1:53">
      <c r="A34" s="12"/>
      <c r="B34" s="12"/>
      <c r="C34" s="12"/>
      <c r="D34" s="12"/>
      <c r="E34" s="12"/>
      <c r="F34" s="12"/>
      <c r="G34" s="12"/>
      <c r="H34" s="12"/>
      <c r="J34" s="12"/>
      <c r="K34" s="12"/>
      <c r="L34" s="12"/>
      <c r="M34" s="12"/>
      <c r="N34" s="12"/>
      <c r="O34" s="12"/>
      <c r="P34" s="12"/>
      <c r="Q34" s="12"/>
      <c r="S34" s="12"/>
      <c r="T34" s="12"/>
      <c r="U34" s="12"/>
      <c r="V34" s="12"/>
      <c r="W34" s="12"/>
      <c r="X34" s="12"/>
      <c r="Y34" s="12"/>
      <c r="Z34" s="12"/>
      <c r="AB34" s="12"/>
      <c r="AC34" s="12"/>
      <c r="AD34" s="12"/>
      <c r="AE34" s="12"/>
      <c r="AF34" s="12"/>
      <c r="AG34" s="12"/>
      <c r="AH34" s="12"/>
      <c r="AI34" s="12"/>
      <c r="AK34" s="32"/>
      <c r="AL34" s="32"/>
      <c r="AM34" s="32"/>
      <c r="AN34" s="32"/>
      <c r="AO34" s="32"/>
      <c r="AP34" s="32"/>
      <c r="AQ34" s="32"/>
      <c r="AR34" s="32"/>
      <c r="AT34" s="12"/>
      <c r="AU34" s="12"/>
      <c r="AV34" s="12"/>
      <c r="AW34" s="12"/>
      <c r="AX34" s="12"/>
      <c r="AY34" s="12"/>
      <c r="AZ34" s="12"/>
      <c r="BA34" s="12"/>
    </row>
    <row r="35" spans="1:53">
      <c r="A35" s="12"/>
      <c r="B35" s="12"/>
      <c r="C35" s="12"/>
      <c r="D35" s="12"/>
      <c r="E35" s="12"/>
      <c r="F35" s="12"/>
      <c r="G35" s="12"/>
      <c r="H35" s="12"/>
      <c r="J35" s="12"/>
      <c r="K35" s="12"/>
      <c r="L35" s="12"/>
      <c r="M35" s="12"/>
      <c r="N35" s="12"/>
      <c r="O35" s="12"/>
      <c r="P35" s="12"/>
      <c r="Q35" s="12"/>
      <c r="S35" s="12"/>
      <c r="T35" s="12"/>
      <c r="U35" s="12"/>
      <c r="V35" s="12"/>
      <c r="W35" s="12"/>
      <c r="X35" s="12"/>
      <c r="Y35" s="12"/>
      <c r="Z35" s="12"/>
      <c r="AB35" s="12"/>
      <c r="AC35" s="12"/>
      <c r="AD35" s="12"/>
      <c r="AE35" s="12"/>
      <c r="AF35" s="12"/>
      <c r="AG35" s="12"/>
      <c r="AH35" s="12"/>
      <c r="AI35" s="12"/>
      <c r="AK35" s="32"/>
      <c r="AL35" s="32"/>
      <c r="AM35" s="32"/>
      <c r="AN35" s="32"/>
      <c r="AO35" s="32"/>
      <c r="AP35" s="32"/>
      <c r="AQ35" s="32"/>
      <c r="AR35" s="32"/>
      <c r="AT35" s="12"/>
      <c r="AU35" s="12"/>
      <c r="AV35" s="12"/>
      <c r="AW35" s="12"/>
      <c r="AX35" s="12"/>
      <c r="AY35" s="12"/>
      <c r="AZ35" s="12"/>
      <c r="BA35" s="12"/>
    </row>
    <row r="36" spans="1:53">
      <c r="A36" s="12"/>
      <c r="B36" s="12"/>
      <c r="C36" s="12"/>
      <c r="D36" s="12"/>
      <c r="E36" s="12"/>
      <c r="F36" s="12"/>
      <c r="G36" s="12"/>
      <c r="H36" s="12"/>
      <c r="J36" s="12"/>
      <c r="K36" s="12"/>
      <c r="L36" s="12"/>
      <c r="M36" s="12"/>
      <c r="N36" s="12"/>
      <c r="O36" s="12"/>
      <c r="P36" s="12"/>
      <c r="Q36" s="12"/>
      <c r="S36" s="12"/>
      <c r="T36" s="12"/>
      <c r="U36" s="12"/>
      <c r="V36" s="12"/>
      <c r="W36" s="12"/>
      <c r="X36" s="12"/>
      <c r="Y36" s="12"/>
      <c r="Z36" s="12"/>
      <c r="AB36" s="12"/>
      <c r="AC36" s="12"/>
      <c r="AD36" s="12"/>
      <c r="AE36" s="12"/>
      <c r="AF36" s="12"/>
      <c r="AG36" s="12"/>
      <c r="AH36" s="12"/>
      <c r="AI36" s="12"/>
      <c r="AK36" s="32"/>
      <c r="AL36" s="32"/>
      <c r="AM36" s="32"/>
      <c r="AN36" s="32"/>
      <c r="AO36" s="32"/>
      <c r="AP36" s="32"/>
      <c r="AQ36" s="32"/>
      <c r="AR36" s="32"/>
      <c r="AT36" s="12"/>
      <c r="AU36" s="12"/>
      <c r="AV36" s="12"/>
      <c r="AW36" s="12"/>
      <c r="AX36" s="12"/>
      <c r="AY36" s="12"/>
      <c r="AZ36" s="12"/>
      <c r="BA36" s="12"/>
    </row>
    <row r="37" spans="1:53">
      <c r="A37" s="12"/>
      <c r="B37" s="12"/>
      <c r="C37" s="12"/>
      <c r="D37" s="12"/>
      <c r="E37" s="12"/>
      <c r="F37" s="12"/>
      <c r="G37" s="12"/>
      <c r="H37" s="12"/>
      <c r="J37" s="12"/>
      <c r="K37" s="12"/>
      <c r="L37" s="12"/>
      <c r="M37" s="12"/>
      <c r="N37" s="12"/>
      <c r="O37" s="12"/>
      <c r="P37" s="12"/>
      <c r="Q37" s="12"/>
      <c r="S37" s="12"/>
      <c r="T37" s="12"/>
      <c r="U37" s="12"/>
      <c r="V37" s="12"/>
      <c r="W37" s="12"/>
      <c r="X37" s="12"/>
      <c r="Y37" s="12"/>
      <c r="Z37" s="12"/>
      <c r="AB37" s="12"/>
      <c r="AC37" s="12"/>
      <c r="AD37" s="12"/>
      <c r="AE37" s="12"/>
      <c r="AF37" s="12"/>
      <c r="AG37" s="12"/>
      <c r="AH37" s="12"/>
      <c r="AI37" s="12"/>
      <c r="AK37" s="32"/>
      <c r="AL37" s="32"/>
      <c r="AM37" s="32"/>
      <c r="AN37" s="32"/>
      <c r="AO37" s="32"/>
      <c r="AP37" s="32"/>
      <c r="AQ37" s="32"/>
      <c r="AR37" s="32"/>
      <c r="AT37" s="12"/>
      <c r="AU37" s="12"/>
      <c r="AV37" s="12"/>
      <c r="AW37" s="12"/>
      <c r="AX37" s="12"/>
      <c r="AY37" s="12"/>
      <c r="AZ37" s="12"/>
      <c r="BA37" s="12"/>
    </row>
    <row r="38" spans="1:53">
      <c r="A38" s="12"/>
      <c r="B38" s="12"/>
      <c r="C38" s="12"/>
      <c r="D38" s="12"/>
      <c r="E38" s="12"/>
      <c r="F38" s="12"/>
      <c r="G38" s="12"/>
      <c r="H38" s="12"/>
      <c r="J38" s="12"/>
      <c r="K38" s="12"/>
      <c r="L38" s="12"/>
      <c r="M38" s="12"/>
      <c r="N38" s="12"/>
      <c r="O38" s="12"/>
      <c r="P38" s="12"/>
      <c r="Q38" s="12"/>
      <c r="S38" s="12"/>
      <c r="T38" s="12"/>
      <c r="U38" s="12"/>
      <c r="V38" s="12"/>
      <c r="W38" s="12"/>
      <c r="X38" s="12"/>
      <c r="Y38" s="12"/>
      <c r="Z38" s="12"/>
      <c r="AB38" s="12"/>
      <c r="AC38" s="12"/>
      <c r="AD38" s="12"/>
      <c r="AE38" s="12"/>
      <c r="AF38" s="12"/>
      <c r="AG38" s="12"/>
      <c r="AH38" s="12"/>
      <c r="AI38" s="12"/>
      <c r="AK38" s="32"/>
      <c r="AL38" s="32"/>
      <c r="AM38" s="32"/>
      <c r="AN38" s="32"/>
      <c r="AO38" s="32"/>
      <c r="AP38" s="32"/>
      <c r="AQ38" s="32"/>
      <c r="AR38" s="32"/>
      <c r="AT38" s="12"/>
      <c r="AU38" s="12"/>
      <c r="AV38" s="12"/>
      <c r="AW38" s="12"/>
      <c r="AX38" s="12"/>
      <c r="AY38" s="12"/>
      <c r="AZ38" s="12"/>
      <c r="BA38" s="12"/>
    </row>
    <row r="39" spans="1:53">
      <c r="A39" s="12"/>
      <c r="B39" s="12"/>
      <c r="C39" s="12"/>
      <c r="D39" s="12"/>
      <c r="E39" s="12"/>
      <c r="F39" s="12"/>
      <c r="G39" s="12"/>
      <c r="H39" s="12"/>
      <c r="J39" s="12"/>
      <c r="K39" s="12"/>
      <c r="L39" s="12"/>
      <c r="M39" s="12"/>
      <c r="N39" s="12"/>
      <c r="O39" s="12"/>
      <c r="P39" s="12"/>
      <c r="Q39" s="12"/>
      <c r="S39" s="12"/>
      <c r="T39" s="12"/>
      <c r="U39" s="12"/>
      <c r="V39" s="12"/>
      <c r="W39" s="12"/>
      <c r="X39" s="12"/>
      <c r="Y39" s="12"/>
      <c r="Z39" s="12"/>
      <c r="AB39" s="12"/>
      <c r="AC39" s="12"/>
      <c r="AD39" s="12"/>
      <c r="AE39" s="12"/>
      <c r="AF39" s="12"/>
      <c r="AG39" s="12"/>
      <c r="AH39" s="12"/>
      <c r="AI39" s="12"/>
      <c r="AK39" s="32"/>
      <c r="AL39" s="32"/>
      <c r="AM39" s="32"/>
      <c r="AN39" s="32"/>
      <c r="AO39" s="32"/>
      <c r="AP39" s="32"/>
      <c r="AQ39" s="32"/>
      <c r="AR39" s="32"/>
      <c r="AT39" s="12"/>
      <c r="AU39" s="12"/>
      <c r="AV39" s="12"/>
      <c r="AW39" s="12"/>
      <c r="AX39" s="12"/>
      <c r="AY39" s="12"/>
      <c r="AZ39" s="12"/>
      <c r="BA39" s="12"/>
    </row>
    <row r="40" spans="1:53">
      <c r="A40" s="12"/>
      <c r="B40" s="12"/>
      <c r="C40" s="12"/>
      <c r="D40" s="12"/>
      <c r="E40" s="12"/>
      <c r="F40" s="12"/>
      <c r="G40" s="12"/>
      <c r="H40" s="12"/>
      <c r="J40" s="12"/>
      <c r="K40" s="12"/>
      <c r="L40" s="12"/>
      <c r="M40" s="12"/>
      <c r="N40" s="12"/>
      <c r="O40" s="12"/>
      <c r="P40" s="12"/>
      <c r="Q40" s="12"/>
      <c r="S40" s="12"/>
      <c r="T40" s="12"/>
      <c r="U40" s="12"/>
      <c r="V40" s="12"/>
      <c r="W40" s="12"/>
      <c r="X40" s="12"/>
      <c r="Y40" s="12"/>
      <c r="Z40" s="12"/>
      <c r="AB40" s="12"/>
      <c r="AC40" s="12"/>
      <c r="AD40" s="12"/>
      <c r="AE40" s="12"/>
      <c r="AF40" s="12"/>
      <c r="AG40" s="12"/>
      <c r="AH40" s="12"/>
      <c r="AI40" s="12"/>
      <c r="AK40" s="32"/>
      <c r="AL40" s="32"/>
      <c r="AM40" s="32"/>
      <c r="AN40" s="32"/>
      <c r="AO40" s="32"/>
      <c r="AP40" s="32"/>
      <c r="AQ40" s="32"/>
      <c r="AR40" s="32"/>
      <c r="AT40" s="12"/>
      <c r="AU40" s="12"/>
      <c r="AV40" s="12"/>
      <c r="AW40" s="12"/>
      <c r="AX40" s="12"/>
      <c r="AY40" s="12"/>
      <c r="AZ40" s="12"/>
      <c r="BA40" s="12"/>
    </row>
    <row r="41" spans="1:53">
      <c r="A41" s="12"/>
      <c r="B41" s="12"/>
      <c r="C41" s="12"/>
      <c r="D41" s="12"/>
      <c r="E41" s="12"/>
      <c r="F41" s="12"/>
      <c r="G41" s="12"/>
      <c r="H41" s="12"/>
      <c r="J41" s="12"/>
      <c r="K41" s="12"/>
      <c r="L41" s="12"/>
      <c r="M41" s="12"/>
      <c r="N41" s="12"/>
      <c r="O41" s="12"/>
      <c r="P41" s="12"/>
      <c r="Q41" s="12"/>
      <c r="S41" s="12"/>
      <c r="T41" s="12"/>
      <c r="U41" s="12"/>
      <c r="V41" s="12"/>
      <c r="W41" s="12"/>
      <c r="X41" s="12"/>
      <c r="Y41" s="12"/>
      <c r="Z41" s="12"/>
      <c r="AB41" s="12"/>
      <c r="AC41" s="12"/>
      <c r="AD41" s="12"/>
      <c r="AE41" s="12"/>
      <c r="AF41" s="12"/>
      <c r="AG41" s="12"/>
      <c r="AH41" s="12"/>
      <c r="AI41" s="12"/>
      <c r="AK41" s="32"/>
      <c r="AL41" s="32"/>
      <c r="AM41" s="32"/>
      <c r="AN41" s="32"/>
      <c r="AO41" s="32"/>
      <c r="AP41" s="32"/>
      <c r="AQ41" s="32"/>
      <c r="AR41" s="32"/>
      <c r="AT41" s="12"/>
      <c r="AU41" s="12"/>
      <c r="AV41" s="12"/>
      <c r="AW41" s="12"/>
      <c r="AX41" s="12"/>
      <c r="AY41" s="12"/>
      <c r="AZ41" s="12"/>
      <c r="BA41" s="12"/>
    </row>
    <row r="42" spans="1:53">
      <c r="A42" s="12"/>
      <c r="B42" s="12"/>
      <c r="C42" s="12"/>
      <c r="D42" s="12"/>
      <c r="E42" s="12"/>
      <c r="F42" s="12"/>
      <c r="G42" s="12"/>
      <c r="H42" s="12"/>
      <c r="J42" s="12"/>
      <c r="K42" s="12"/>
      <c r="L42" s="12"/>
      <c r="M42" s="12"/>
      <c r="N42" s="12"/>
      <c r="O42" s="12"/>
      <c r="P42" s="12"/>
      <c r="Q42" s="12"/>
      <c r="S42" s="12"/>
      <c r="T42" s="12"/>
      <c r="U42" s="12"/>
      <c r="V42" s="12"/>
      <c r="W42" s="12"/>
      <c r="X42" s="12"/>
      <c r="Y42" s="12"/>
      <c r="Z42" s="12"/>
      <c r="AB42" s="12"/>
      <c r="AC42" s="12"/>
      <c r="AD42" s="12"/>
      <c r="AE42" s="12"/>
      <c r="AF42" s="12"/>
      <c r="AG42" s="12"/>
      <c r="AH42" s="12"/>
      <c r="AI42" s="12"/>
      <c r="AK42" s="32"/>
      <c r="AL42" s="32"/>
      <c r="AM42" s="32"/>
      <c r="AN42" s="32"/>
      <c r="AO42" s="32"/>
      <c r="AP42" s="32"/>
      <c r="AQ42" s="32"/>
      <c r="AR42" s="32"/>
      <c r="AT42" s="12"/>
      <c r="AU42" s="12"/>
      <c r="AV42" s="12"/>
      <c r="AW42" s="12"/>
      <c r="AX42" s="12"/>
      <c r="AY42" s="12"/>
      <c r="AZ42" s="12"/>
      <c r="BA42" s="12"/>
    </row>
    <row r="43" spans="1:53">
      <c r="A43" s="12"/>
      <c r="B43" s="12"/>
      <c r="C43" s="12"/>
      <c r="D43" s="12"/>
      <c r="E43" s="12"/>
      <c r="F43" s="12"/>
      <c r="G43" s="12"/>
      <c r="H43" s="12"/>
      <c r="J43" s="12"/>
      <c r="K43" s="12"/>
      <c r="L43" s="12"/>
      <c r="M43" s="12"/>
      <c r="N43" s="12"/>
      <c r="O43" s="12"/>
      <c r="P43" s="12"/>
      <c r="Q43" s="12"/>
      <c r="S43" s="12"/>
      <c r="T43" s="12"/>
      <c r="U43" s="12"/>
      <c r="V43" s="12"/>
      <c r="W43" s="12"/>
      <c r="X43" s="12"/>
      <c r="Y43" s="12"/>
      <c r="Z43" s="12"/>
      <c r="AB43" s="12"/>
      <c r="AC43" s="12"/>
      <c r="AD43" s="12"/>
      <c r="AE43" s="12"/>
      <c r="AF43" s="12"/>
      <c r="AG43" s="12"/>
      <c r="AH43" s="12"/>
      <c r="AI43" s="12"/>
      <c r="AK43" s="32"/>
      <c r="AL43" s="32"/>
      <c r="AM43" s="32"/>
      <c r="AN43" s="32"/>
      <c r="AO43" s="32"/>
      <c r="AP43" s="32"/>
      <c r="AQ43" s="32"/>
      <c r="AR43" s="32"/>
      <c r="AT43" s="12"/>
      <c r="AU43" s="12"/>
      <c r="AV43" s="12"/>
      <c r="AW43" s="12"/>
      <c r="AX43" s="12"/>
      <c r="AY43" s="12"/>
      <c r="AZ43" s="12"/>
      <c r="BA43" s="12"/>
    </row>
    <row r="44" spans="1:53">
      <c r="A44" s="12"/>
      <c r="B44" s="12"/>
      <c r="C44" s="12"/>
      <c r="D44" s="12"/>
      <c r="E44" s="12"/>
      <c r="F44" s="12"/>
      <c r="G44" s="12"/>
      <c r="H44" s="12"/>
      <c r="J44" s="12"/>
      <c r="K44" s="12"/>
      <c r="L44" s="12"/>
      <c r="M44" s="12"/>
      <c r="N44" s="12"/>
      <c r="O44" s="12"/>
      <c r="P44" s="12"/>
      <c r="Q44" s="12"/>
      <c r="S44" s="12"/>
      <c r="T44" s="12"/>
      <c r="U44" s="12"/>
      <c r="V44" s="12"/>
      <c r="W44" s="12"/>
      <c r="X44" s="12"/>
      <c r="Y44" s="12"/>
      <c r="Z44" s="12"/>
      <c r="AB44" s="12"/>
      <c r="AC44" s="12"/>
      <c r="AD44" s="12"/>
      <c r="AE44" s="12"/>
      <c r="AF44" s="12"/>
      <c r="AG44" s="12"/>
      <c r="AH44" s="12"/>
      <c r="AI44" s="12"/>
      <c r="AK44" s="32"/>
      <c r="AL44" s="32"/>
      <c r="AM44" s="32"/>
      <c r="AN44" s="32"/>
      <c r="AO44" s="32"/>
      <c r="AP44" s="32"/>
      <c r="AQ44" s="32"/>
      <c r="AR44" s="32"/>
      <c r="AT44" s="12"/>
      <c r="AU44" s="12"/>
      <c r="AV44" s="12"/>
      <c r="AW44" s="12"/>
      <c r="AX44" s="12"/>
      <c r="AY44" s="12"/>
      <c r="AZ44" s="12"/>
      <c r="BA44" s="12"/>
    </row>
    <row r="45" spans="1:53">
      <c r="A45" s="12"/>
      <c r="B45" s="12"/>
      <c r="C45" s="12"/>
      <c r="D45" s="12"/>
      <c r="E45" s="12"/>
      <c r="F45" s="12"/>
      <c r="G45" s="12"/>
      <c r="H45" s="12"/>
      <c r="J45" s="12"/>
      <c r="K45" s="12"/>
      <c r="L45" s="12"/>
      <c r="M45" s="12"/>
      <c r="N45" s="12"/>
      <c r="O45" s="12"/>
      <c r="P45" s="12"/>
      <c r="Q45" s="12"/>
      <c r="S45" s="12"/>
      <c r="T45" s="12"/>
      <c r="U45" s="12"/>
      <c r="V45" s="12"/>
      <c r="W45" s="12"/>
      <c r="X45" s="12"/>
      <c r="Y45" s="12"/>
      <c r="Z45" s="12"/>
      <c r="AB45" s="12"/>
      <c r="AC45" s="12"/>
      <c r="AD45" s="12"/>
      <c r="AE45" s="12"/>
      <c r="AF45" s="12"/>
      <c r="AG45" s="12"/>
      <c r="AH45" s="12"/>
      <c r="AI45" s="12"/>
      <c r="AK45" s="32"/>
      <c r="AL45" s="32"/>
      <c r="AM45" s="32"/>
      <c r="AN45" s="32"/>
      <c r="AO45" s="32"/>
      <c r="AP45" s="32"/>
      <c r="AQ45" s="32"/>
      <c r="AR45" s="32"/>
      <c r="AT45" s="12"/>
      <c r="AU45" s="12"/>
      <c r="AV45" s="12"/>
      <c r="AW45" s="12"/>
      <c r="AX45" s="12"/>
      <c r="AY45" s="12"/>
      <c r="AZ45" s="12"/>
      <c r="BA45" s="12"/>
    </row>
    <row r="46" spans="1:53">
      <c r="A46" s="12"/>
      <c r="B46" s="12"/>
      <c r="C46" s="12"/>
      <c r="D46" s="12"/>
      <c r="E46" s="12"/>
      <c r="F46" s="12"/>
      <c r="G46" s="12"/>
      <c r="H46" s="12"/>
      <c r="J46" s="12"/>
      <c r="K46" s="12"/>
      <c r="L46" s="12"/>
      <c r="M46" s="12"/>
      <c r="N46" s="12"/>
      <c r="O46" s="12"/>
      <c r="P46" s="12"/>
      <c r="Q46" s="12"/>
      <c r="S46" s="12"/>
      <c r="T46" s="12"/>
      <c r="U46" s="12"/>
      <c r="V46" s="12"/>
      <c r="W46" s="12"/>
      <c r="X46" s="12"/>
      <c r="Y46" s="12"/>
      <c r="Z46" s="12"/>
      <c r="AB46" s="12"/>
      <c r="AC46" s="12"/>
      <c r="AD46" s="12"/>
      <c r="AE46" s="12"/>
      <c r="AF46" s="12"/>
      <c r="AG46" s="12"/>
      <c r="AH46" s="12"/>
      <c r="AI46" s="12"/>
      <c r="AK46" s="32"/>
      <c r="AL46" s="32"/>
      <c r="AM46" s="32"/>
      <c r="AN46" s="32"/>
      <c r="AO46" s="32"/>
      <c r="AP46" s="32"/>
      <c r="AQ46" s="32"/>
      <c r="AR46" s="32"/>
      <c r="AT46" s="12"/>
      <c r="AU46" s="12"/>
      <c r="AV46" s="12"/>
      <c r="AW46" s="12"/>
      <c r="AX46" s="12"/>
      <c r="AY46" s="12"/>
      <c r="AZ46" s="12"/>
      <c r="BA46" s="12"/>
    </row>
    <row r="47" spans="1:53">
      <c r="A47" s="12"/>
      <c r="B47" s="12"/>
      <c r="C47" s="12"/>
      <c r="D47" s="12"/>
      <c r="E47" s="12"/>
      <c r="F47" s="12"/>
      <c r="G47" s="12"/>
      <c r="H47" s="12"/>
      <c r="J47" s="12"/>
      <c r="K47" s="12"/>
      <c r="L47" s="12"/>
      <c r="M47" s="12"/>
      <c r="N47" s="12"/>
      <c r="O47" s="12"/>
      <c r="P47" s="12"/>
      <c r="Q47" s="12"/>
      <c r="S47" s="12"/>
      <c r="T47" s="12"/>
      <c r="U47" s="12"/>
      <c r="V47" s="12"/>
      <c r="W47" s="12"/>
      <c r="X47" s="12"/>
      <c r="Y47" s="12"/>
      <c r="Z47" s="12"/>
      <c r="AB47" s="12"/>
      <c r="AC47" s="12"/>
      <c r="AD47" s="12"/>
      <c r="AE47" s="12"/>
      <c r="AF47" s="12"/>
      <c r="AG47" s="12"/>
      <c r="AH47" s="12"/>
      <c r="AI47" s="12"/>
      <c r="AK47" s="32"/>
      <c r="AL47" s="32"/>
      <c r="AM47" s="32"/>
      <c r="AN47" s="32"/>
      <c r="AO47" s="32"/>
      <c r="AP47" s="32"/>
      <c r="AQ47" s="32"/>
      <c r="AR47" s="32"/>
      <c r="AT47" s="12"/>
      <c r="AU47" s="12"/>
      <c r="AV47" s="12"/>
      <c r="AW47" s="12"/>
      <c r="AX47" s="12"/>
      <c r="AY47" s="12"/>
      <c r="AZ47" s="12"/>
      <c r="BA47" s="12"/>
    </row>
    <row r="48" spans="1:53">
      <c r="A48" s="12"/>
      <c r="B48" s="12"/>
      <c r="C48" s="12"/>
      <c r="D48" s="12"/>
      <c r="E48" s="12"/>
      <c r="F48" s="12"/>
      <c r="G48" s="12"/>
      <c r="H48" s="12"/>
      <c r="J48" s="12"/>
      <c r="K48" s="12"/>
      <c r="L48" s="12"/>
      <c r="M48" s="12"/>
      <c r="N48" s="12"/>
      <c r="O48" s="12"/>
      <c r="P48" s="12"/>
      <c r="Q48" s="12"/>
      <c r="S48" s="12"/>
      <c r="T48" s="12"/>
      <c r="U48" s="12"/>
      <c r="V48" s="12"/>
      <c r="W48" s="12"/>
      <c r="X48" s="12"/>
      <c r="Y48" s="12"/>
      <c r="Z48" s="12"/>
      <c r="AB48" s="12"/>
      <c r="AC48" s="12"/>
      <c r="AD48" s="12"/>
      <c r="AE48" s="12"/>
      <c r="AF48" s="12"/>
      <c r="AG48" s="12"/>
      <c r="AH48" s="12"/>
      <c r="AI48" s="12"/>
      <c r="AK48" s="32"/>
      <c r="AL48" s="32"/>
      <c r="AM48" s="32"/>
      <c r="AN48" s="32"/>
      <c r="AO48" s="32"/>
      <c r="AP48" s="32"/>
      <c r="AQ48" s="32"/>
      <c r="AR48" s="32"/>
      <c r="AT48" s="12"/>
      <c r="AU48" s="12"/>
      <c r="AV48" s="12"/>
      <c r="AW48" s="12"/>
      <c r="AX48" s="12"/>
      <c r="AY48" s="12"/>
      <c r="AZ48" s="12"/>
      <c r="BA48" s="12"/>
    </row>
    <row r="49" spans="1:53">
      <c r="A49" s="12"/>
      <c r="B49" s="12"/>
      <c r="C49" s="12"/>
      <c r="D49" s="12"/>
      <c r="E49" s="12"/>
      <c r="F49" s="12"/>
      <c r="G49" s="12"/>
      <c r="H49" s="12"/>
      <c r="J49" s="12"/>
      <c r="K49" s="12"/>
      <c r="L49" s="12"/>
      <c r="M49" s="12"/>
      <c r="N49" s="12"/>
      <c r="O49" s="12"/>
      <c r="P49" s="12"/>
      <c r="Q49" s="12"/>
      <c r="S49" s="12"/>
      <c r="T49" s="12"/>
      <c r="U49" s="12"/>
      <c r="V49" s="12"/>
      <c r="W49" s="12"/>
      <c r="X49" s="12"/>
      <c r="Y49" s="12"/>
      <c r="Z49" s="12"/>
      <c r="AB49" s="12"/>
      <c r="AC49" s="12"/>
      <c r="AD49" s="12"/>
      <c r="AE49" s="12"/>
      <c r="AF49" s="12"/>
      <c r="AG49" s="12"/>
      <c r="AH49" s="12"/>
      <c r="AI49" s="12"/>
      <c r="AK49" s="32"/>
      <c r="AL49" s="32"/>
      <c r="AM49" s="32"/>
      <c r="AN49" s="32"/>
      <c r="AO49" s="32"/>
      <c r="AP49" s="32"/>
      <c r="AQ49" s="32"/>
      <c r="AR49" s="32"/>
      <c r="AT49" s="12"/>
      <c r="AU49" s="12"/>
      <c r="AV49" s="12"/>
      <c r="AW49" s="12"/>
      <c r="AX49" s="12"/>
      <c r="AY49" s="12"/>
      <c r="AZ49" s="12"/>
      <c r="BA49" s="12"/>
    </row>
    <row r="50" spans="1:53">
      <c r="A50" s="12"/>
      <c r="B50" s="12"/>
      <c r="C50" s="12"/>
      <c r="D50" s="12"/>
      <c r="E50" s="12"/>
      <c r="F50" s="12"/>
      <c r="G50" s="12"/>
      <c r="H50" s="12"/>
      <c r="J50" s="12"/>
      <c r="K50" s="12"/>
      <c r="L50" s="12"/>
      <c r="M50" s="12"/>
      <c r="N50" s="12"/>
      <c r="O50" s="12"/>
      <c r="P50" s="12"/>
      <c r="Q50" s="12"/>
      <c r="S50" s="12"/>
      <c r="T50" s="12"/>
      <c r="U50" s="12"/>
      <c r="V50" s="12"/>
      <c r="W50" s="12"/>
      <c r="X50" s="12"/>
      <c r="Y50" s="12"/>
      <c r="Z50" s="12"/>
      <c r="AB50" s="12"/>
      <c r="AC50" s="12"/>
      <c r="AD50" s="12"/>
      <c r="AE50" s="12"/>
      <c r="AF50" s="12"/>
      <c r="AG50" s="12"/>
      <c r="AH50" s="12"/>
      <c r="AI50" s="12"/>
      <c r="AK50" s="32"/>
      <c r="AL50" s="32"/>
      <c r="AM50" s="32"/>
      <c r="AN50" s="32"/>
      <c r="AO50" s="32"/>
      <c r="AP50" s="32"/>
      <c r="AQ50" s="32"/>
      <c r="AR50" s="32"/>
      <c r="AT50" s="12"/>
      <c r="AU50" s="12"/>
      <c r="AV50" s="12"/>
      <c r="AW50" s="12"/>
      <c r="AX50" s="12"/>
      <c r="AY50" s="12"/>
      <c r="AZ50" s="12"/>
      <c r="BA50" s="12"/>
    </row>
    <row r="51" spans="1:53">
      <c r="A51" s="12"/>
      <c r="B51" s="12"/>
      <c r="C51" s="12"/>
      <c r="D51" s="12"/>
      <c r="E51" s="12"/>
      <c r="F51" s="12"/>
      <c r="G51" s="12"/>
      <c r="H51" s="12"/>
      <c r="J51" s="12"/>
      <c r="K51" s="12"/>
      <c r="L51" s="12"/>
      <c r="M51" s="12"/>
      <c r="N51" s="12"/>
      <c r="O51" s="12"/>
      <c r="P51" s="12"/>
      <c r="Q51" s="12"/>
      <c r="S51" s="12"/>
      <c r="T51" s="12"/>
      <c r="U51" s="12"/>
      <c r="V51" s="12"/>
      <c r="W51" s="12"/>
      <c r="X51" s="12"/>
      <c r="Y51" s="12"/>
      <c r="Z51" s="12"/>
      <c r="AB51" s="12"/>
      <c r="AC51" s="12"/>
      <c r="AD51" s="12"/>
      <c r="AE51" s="12"/>
      <c r="AF51" s="12"/>
      <c r="AG51" s="12"/>
      <c r="AH51" s="12"/>
      <c r="AI51" s="12"/>
      <c r="AK51" s="32"/>
      <c r="AL51" s="32"/>
      <c r="AM51" s="32"/>
      <c r="AN51" s="32"/>
      <c r="AO51" s="32"/>
      <c r="AP51" s="32"/>
      <c r="AQ51" s="32"/>
      <c r="AR51" s="32"/>
      <c r="AT51" s="12"/>
      <c r="AU51" s="12"/>
      <c r="AV51" s="12"/>
      <c r="AW51" s="12"/>
      <c r="AX51" s="12"/>
      <c r="AY51" s="12"/>
      <c r="AZ51" s="12"/>
      <c r="BA51" s="12"/>
    </row>
    <row r="52" spans="1:53">
      <c r="A52" s="7" t="s">
        <v>207</v>
      </c>
      <c r="B52" s="7"/>
      <c r="C52" s="7"/>
      <c r="D52" s="7"/>
      <c r="E52" s="7"/>
      <c r="F52" s="7"/>
      <c r="G52" s="7"/>
      <c r="H52" s="6" t="str">
        <f>IF(COUNTIF(H53:H56,"="&amp;IncompleteText),IncompleteText,IF(COUNTIF(H53:H55,"="&amp;ErrorText),ErrorText,OKText))</f>
        <v>BLANK</v>
      </c>
      <c r="J52" s="7" t="s">
        <v>208</v>
      </c>
      <c r="K52" s="7"/>
      <c r="L52" s="7"/>
      <c r="M52" s="7"/>
      <c r="N52" s="7"/>
      <c r="O52" s="7"/>
      <c r="P52" s="7"/>
      <c r="Q52" s="6" t="str">
        <f>IF(COUNTIF(Q53:Q55,"="&amp;IncompleteText),IncompleteText,IF(COUNTIF(Q53:Q55,"="&amp;ErrorText),ErrorText,OKText))</f>
        <v>BLANK</v>
      </c>
      <c r="S52" s="7" t="s">
        <v>209</v>
      </c>
      <c r="T52" s="7"/>
      <c r="U52" s="7"/>
      <c r="V52" s="7"/>
      <c r="W52" s="7"/>
      <c r="X52" s="7"/>
      <c r="Y52" s="7"/>
      <c r="Z52" s="6" t="str">
        <f>IF(COUNTIF(Z53:Z54,"="&amp;IncompleteText),IncompleteText,IF(COUNTIF(Z53:Z54,"="&amp;ErrorText),ErrorText,OKText))</f>
        <v>BLANK</v>
      </c>
      <c r="AB52" s="7" t="s">
        <v>210</v>
      </c>
      <c r="AC52" s="7"/>
      <c r="AD52" s="7"/>
      <c r="AE52" s="7"/>
      <c r="AF52" s="7"/>
      <c r="AG52" s="7"/>
      <c r="AH52" s="7"/>
      <c r="AI52" s="6" t="str">
        <f>IF(COUNTIF(AI53,"="&amp;IncompleteText),IncompleteText,IF(COUNTIF(AI53,"="&amp;ErrorText),ErrorText,OKText))</f>
        <v>BLANK</v>
      </c>
      <c r="AK52" s="7" t="s">
        <v>213</v>
      </c>
      <c r="AL52" s="7"/>
      <c r="AM52" s="7"/>
      <c r="AN52" s="7"/>
      <c r="AO52" s="7"/>
      <c r="AP52" s="7"/>
      <c r="AQ52" s="7"/>
      <c r="AR52" s="6" t="str">
        <f>IF(COUNTIF(AR53,"="&amp;IncompleteText),IncompleteText,IF(COUNTIF(AR53,"="&amp;ErrorText),ErrorText,OKText))</f>
        <v>BLANK</v>
      </c>
      <c r="AT52" s="7" t="s">
        <v>214</v>
      </c>
      <c r="AU52" s="7"/>
      <c r="AV52" s="7"/>
      <c r="AW52" s="7"/>
      <c r="AX52" s="7"/>
      <c r="AY52" s="7"/>
      <c r="AZ52" s="7"/>
      <c r="BA52" s="6" t="str">
        <f>IF(COUNTIF(BA53,"="&amp;IncompleteText),IncompleteText,IF(COUNTIF(BA53,"="&amp;ErrorText),ErrorText,OKText))</f>
        <v>BLANK</v>
      </c>
    </row>
    <row r="53" s="50" customFormat="1" ht="37.5" customHeight="1" spans="1:53">
      <c r="A53" s="55" t="s">
        <v>215</v>
      </c>
      <c r="B53" s="55"/>
      <c r="C53" s="55"/>
      <c r="D53" s="55"/>
      <c r="E53" s="55"/>
      <c r="F53" s="55"/>
      <c r="G53" s="61"/>
      <c r="H53" s="8" t="str">
        <f>IF(ISBLANK(G53),IncompleteText,IF(G53,OKText,ErrorText))</f>
        <v>BLANK</v>
      </c>
      <c r="J53" s="55" t="s">
        <v>216</v>
      </c>
      <c r="K53" s="55"/>
      <c r="L53" s="55"/>
      <c r="M53" s="55"/>
      <c r="N53" s="55"/>
      <c r="O53" s="62"/>
      <c r="P53" s="61"/>
      <c r="Q53" s="8" t="str">
        <f>IF(ISBLANK(P53),IncompleteText,IF(P53,OKText,ErrorText))</f>
        <v>BLANK</v>
      </c>
      <c r="S53" s="22" t="s">
        <v>217</v>
      </c>
      <c r="T53" s="22"/>
      <c r="U53" s="22"/>
      <c r="V53" s="22"/>
      <c r="W53" s="22"/>
      <c r="X53" s="60"/>
      <c r="Y53" s="61"/>
      <c r="Z53" s="8" t="str">
        <f>IF(ISBLANK(Y53),IncompleteText,IF(Y53,OKText,ErrorText))</f>
        <v>BLANK</v>
      </c>
      <c r="AB53" s="104" t="s">
        <v>218</v>
      </c>
      <c r="AC53" s="104"/>
      <c r="AD53" s="104"/>
      <c r="AE53" s="104"/>
      <c r="AF53" s="104"/>
      <c r="AG53" s="105"/>
      <c r="AH53" s="61"/>
      <c r="AI53" s="8" t="str">
        <f>IF(ISBLANK(AH53),IncompleteText,IF(AH53,OKText,ErrorText))</f>
        <v>BLANK</v>
      </c>
      <c r="AK53" s="104" t="s">
        <v>219</v>
      </c>
      <c r="AL53" s="104"/>
      <c r="AM53" s="104"/>
      <c r="AN53" s="104"/>
      <c r="AO53" s="104"/>
      <c r="AP53" s="105"/>
      <c r="AQ53" s="61"/>
      <c r="AR53" s="8" t="str">
        <f>IF(ISBLANK(AQ53),IncompleteText,IF(AQ53,OKText,ErrorText))</f>
        <v>BLANK</v>
      </c>
      <c r="AT53" s="104" t="s">
        <v>220</v>
      </c>
      <c r="AU53" s="104"/>
      <c r="AV53" s="104"/>
      <c r="AW53" s="104"/>
      <c r="AX53" s="104"/>
      <c r="AY53" s="105"/>
      <c r="AZ53" s="61"/>
      <c r="BA53" s="8" t="str">
        <f>IF(ISBLANK(AZ53),IncompleteText,IF(AZ53,OKText,ErrorText))</f>
        <v>BLANK</v>
      </c>
    </row>
    <row r="54" ht="28" spans="1:53">
      <c r="A54" s="5" t="s">
        <v>221</v>
      </c>
      <c r="B54" s="5"/>
      <c r="C54" s="5"/>
      <c r="D54" s="5"/>
      <c r="E54" s="5"/>
      <c r="F54" s="5"/>
      <c r="G54" s="28"/>
      <c r="H54" s="6" t="str">
        <f>IF(ISBLANK(G54),IncompleteText,IF(G54,OKText,ErrorText))</f>
        <v>BLANK</v>
      </c>
      <c r="J54" s="5" t="s">
        <v>222</v>
      </c>
      <c r="K54" s="5"/>
      <c r="L54" s="5"/>
      <c r="M54" s="5"/>
      <c r="N54" s="5"/>
      <c r="O54" s="17"/>
      <c r="P54" s="28"/>
      <c r="Q54" s="6" t="str">
        <f>IF(ISBLANK(P54),IncompleteText,IF(P54,OKText,ErrorText))</f>
        <v>BLANK</v>
      </c>
      <c r="S54" s="33" t="s">
        <v>223</v>
      </c>
      <c r="T54" s="33"/>
      <c r="U54" s="33"/>
      <c r="V54" s="33"/>
      <c r="W54" s="33"/>
      <c r="X54" s="35"/>
      <c r="Y54" s="28"/>
      <c r="Z54" s="6" t="str">
        <f>IF(ISBLANK(Y54),IncompleteText,IF(Y54,OKText,ErrorText))</f>
        <v>BLANK</v>
      </c>
      <c r="AB54" s="7" t="s">
        <v>152</v>
      </c>
      <c r="AC54" s="7"/>
      <c r="AD54" s="7"/>
      <c r="AE54" s="7"/>
      <c r="AF54" s="7"/>
      <c r="AG54" s="7"/>
      <c r="AH54" s="7"/>
      <c r="AI54" s="137" t="s">
        <v>224</v>
      </c>
      <c r="AK54" s="7" t="s">
        <v>152</v>
      </c>
      <c r="AL54" s="7"/>
      <c r="AM54" s="7"/>
      <c r="AN54" s="7"/>
      <c r="AO54" s="7"/>
      <c r="AP54" s="7"/>
      <c r="AQ54" s="7"/>
      <c r="AR54" s="137" t="s">
        <v>224</v>
      </c>
      <c r="AT54" s="7" t="s">
        <v>152</v>
      </c>
      <c r="AU54" s="7"/>
      <c r="AV54" s="7"/>
      <c r="AW54" s="7"/>
      <c r="AX54" s="7"/>
      <c r="AY54" s="7"/>
      <c r="AZ54" s="7"/>
      <c r="BA54" s="137" t="s">
        <v>224</v>
      </c>
    </row>
    <row r="55" ht="27.75" customHeight="1" spans="1:53">
      <c r="A55" s="5" t="s">
        <v>225</v>
      </c>
      <c r="B55" s="5"/>
      <c r="C55" s="5"/>
      <c r="D55" s="5"/>
      <c r="E55" s="5"/>
      <c r="F55" s="5"/>
      <c r="G55" s="28"/>
      <c r="H55" s="6" t="str">
        <f>IF(ISBLANK(G55),IncompleteText,IF(G55,OKText,ErrorText))</f>
        <v>BLANK</v>
      </c>
      <c r="J55" s="33" t="s">
        <v>226</v>
      </c>
      <c r="K55" s="33"/>
      <c r="L55" s="33"/>
      <c r="M55" s="33"/>
      <c r="N55" s="33"/>
      <c r="O55" s="35"/>
      <c r="P55" s="28"/>
      <c r="Q55" s="6" t="str">
        <f>IF(ISBLANK(P55),IncompleteText,IF(P55,OKText,ErrorText))</f>
        <v>BLANK</v>
      </c>
      <c r="S55" s="128" t="s">
        <v>152</v>
      </c>
      <c r="T55" s="128"/>
      <c r="U55" s="128"/>
      <c r="V55" s="128"/>
      <c r="W55" s="128"/>
      <c r="X55" s="128"/>
      <c r="Y55" s="128"/>
      <c r="Z55" s="134" t="s">
        <v>224</v>
      </c>
      <c r="AB55" s="90"/>
      <c r="AC55" s="90"/>
      <c r="AD55" s="90"/>
      <c r="AE55" s="90"/>
      <c r="AF55" s="90"/>
      <c r="AG55" s="90"/>
      <c r="AH55" s="90"/>
      <c r="AI55" s="138" t="s">
        <v>227</v>
      </c>
      <c r="AK55" s="90"/>
      <c r="AL55" s="90"/>
      <c r="AM55" s="90"/>
      <c r="AN55" s="90"/>
      <c r="AO55" s="90"/>
      <c r="AP55" s="90"/>
      <c r="AQ55" s="90"/>
      <c r="AR55" s="138" t="s">
        <v>228</v>
      </c>
      <c r="AT55" s="90"/>
      <c r="AU55" s="90"/>
      <c r="AV55" s="90"/>
      <c r="AW55" s="90"/>
      <c r="AX55" s="90"/>
      <c r="AY55" s="90"/>
      <c r="AZ55" s="90"/>
      <c r="BA55" s="139" t="s">
        <v>229</v>
      </c>
    </row>
    <row r="56" ht="14.25" customHeight="1" spans="1:53">
      <c r="A56" s="5" t="s">
        <v>230</v>
      </c>
      <c r="B56" s="5"/>
      <c r="C56" s="5"/>
      <c r="D56" s="5"/>
      <c r="E56" s="5"/>
      <c r="F56" s="17"/>
      <c r="G56" s="28"/>
      <c r="H56" s="6" t="str">
        <f>IF(ISBLANK(G56),IncompleteText,IF(G56,OKText,ErrorText))</f>
        <v>BLANK</v>
      </c>
      <c r="J56" s="5" t="s">
        <v>231</v>
      </c>
      <c r="K56" s="5"/>
      <c r="L56" s="5"/>
      <c r="M56" s="5"/>
      <c r="N56" s="5"/>
      <c r="O56" s="17"/>
      <c r="P56" s="28"/>
      <c r="Q56" s="6" t="s">
        <v>232</v>
      </c>
      <c r="S56" s="129"/>
      <c r="T56" s="129"/>
      <c r="U56" s="129"/>
      <c r="V56" s="129"/>
      <c r="W56" s="129"/>
      <c r="X56" s="129"/>
      <c r="Y56" s="129"/>
      <c r="Z56" s="135"/>
      <c r="AB56" s="90"/>
      <c r="AC56" s="90"/>
      <c r="AD56" s="90"/>
      <c r="AE56" s="90"/>
      <c r="AF56" s="90"/>
      <c r="AG56" s="90"/>
      <c r="AH56" s="90"/>
      <c r="AI56" s="138"/>
      <c r="AK56" s="90"/>
      <c r="AL56" s="90"/>
      <c r="AM56" s="90"/>
      <c r="AN56" s="90"/>
      <c r="AO56" s="90"/>
      <c r="AP56" s="90"/>
      <c r="AQ56" s="90"/>
      <c r="AR56" s="138"/>
      <c r="AT56" s="90"/>
      <c r="AU56" s="90"/>
      <c r="AV56" s="90"/>
      <c r="AW56" s="90"/>
      <c r="AX56" s="90"/>
      <c r="AY56" s="90"/>
      <c r="AZ56" s="90"/>
      <c r="BA56" s="139"/>
    </row>
    <row r="57" spans="1:53">
      <c r="A57" s="7" t="s">
        <v>152</v>
      </c>
      <c r="B57" s="7"/>
      <c r="C57" s="7"/>
      <c r="D57" s="7"/>
      <c r="E57" s="7"/>
      <c r="F57" s="7"/>
      <c r="G57" s="7"/>
      <c r="H57" s="109" t="s">
        <v>224</v>
      </c>
      <c r="J57" s="7" t="s">
        <v>152</v>
      </c>
      <c r="K57" s="7"/>
      <c r="L57" s="7"/>
      <c r="M57" s="7"/>
      <c r="N57" s="7"/>
      <c r="O57" s="7"/>
      <c r="P57" s="7"/>
      <c r="Q57" s="109" t="s">
        <v>224</v>
      </c>
      <c r="S57" s="90"/>
      <c r="T57" s="90"/>
      <c r="U57" s="90"/>
      <c r="V57" s="90"/>
      <c r="W57" s="90"/>
      <c r="X57" s="90"/>
      <c r="Y57" s="90"/>
      <c r="Z57" s="136" t="s">
        <v>233</v>
      </c>
      <c r="AB57" s="90"/>
      <c r="AC57" s="90"/>
      <c r="AD57" s="90"/>
      <c r="AE57" s="90"/>
      <c r="AF57" s="90"/>
      <c r="AG57" s="90"/>
      <c r="AH57" s="90"/>
      <c r="AI57" s="138"/>
      <c r="AK57" s="90"/>
      <c r="AL57" s="90"/>
      <c r="AM57" s="90"/>
      <c r="AN57" s="90"/>
      <c r="AO57" s="90"/>
      <c r="AP57" s="90"/>
      <c r="AQ57" s="90"/>
      <c r="AR57" s="138"/>
      <c r="AT57" s="90"/>
      <c r="AU57" s="90"/>
      <c r="AV57" s="90"/>
      <c r="AW57" s="90"/>
      <c r="AX57" s="90"/>
      <c r="AY57" s="90"/>
      <c r="AZ57" s="90"/>
      <c r="BA57" s="139"/>
    </row>
    <row r="58" spans="1:53">
      <c r="A58" s="110"/>
      <c r="B58" s="111"/>
      <c r="C58" s="111"/>
      <c r="D58" s="111"/>
      <c r="E58" s="111"/>
      <c r="F58" s="111"/>
      <c r="G58" s="112"/>
      <c r="H58" s="85" t="s">
        <v>234</v>
      </c>
      <c r="J58" s="110"/>
      <c r="K58" s="111"/>
      <c r="L58" s="111"/>
      <c r="M58" s="111"/>
      <c r="N58" s="111"/>
      <c r="O58" s="111"/>
      <c r="P58" s="112"/>
      <c r="Q58" s="130" t="s">
        <v>235</v>
      </c>
      <c r="S58" s="90"/>
      <c r="T58" s="90"/>
      <c r="U58" s="90"/>
      <c r="V58" s="90"/>
      <c r="W58" s="90"/>
      <c r="X58" s="90"/>
      <c r="Y58" s="90"/>
      <c r="Z58" s="136"/>
      <c r="AB58" s="90"/>
      <c r="AC58" s="90"/>
      <c r="AD58" s="90"/>
      <c r="AE58" s="90"/>
      <c r="AF58" s="90"/>
      <c r="AG58" s="90"/>
      <c r="AH58" s="90"/>
      <c r="AI58" s="138"/>
      <c r="AK58" s="90"/>
      <c r="AL58" s="90"/>
      <c r="AM58" s="90"/>
      <c r="AN58" s="90"/>
      <c r="AO58" s="90"/>
      <c r="AP58" s="90"/>
      <c r="AQ58" s="90"/>
      <c r="AR58" s="138"/>
      <c r="AT58" s="90"/>
      <c r="AU58" s="90"/>
      <c r="AV58" s="90"/>
      <c r="AW58" s="90"/>
      <c r="AX58" s="90"/>
      <c r="AY58" s="90"/>
      <c r="AZ58" s="90"/>
      <c r="BA58" s="139"/>
    </row>
    <row r="59" spans="1:53">
      <c r="A59" s="113"/>
      <c r="B59" s="114"/>
      <c r="C59" s="114"/>
      <c r="D59" s="114"/>
      <c r="E59" s="114"/>
      <c r="F59" s="114"/>
      <c r="G59" s="115"/>
      <c r="H59" s="85"/>
      <c r="J59" s="113"/>
      <c r="K59" s="114"/>
      <c r="L59" s="114"/>
      <c r="M59" s="114"/>
      <c r="N59" s="114"/>
      <c r="O59" s="114"/>
      <c r="P59" s="115"/>
      <c r="Q59" s="131"/>
      <c r="S59" s="90"/>
      <c r="T59" s="90"/>
      <c r="U59" s="90"/>
      <c r="V59" s="90"/>
      <c r="W59" s="90"/>
      <c r="X59" s="90"/>
      <c r="Y59" s="90"/>
      <c r="Z59" s="136"/>
      <c r="AB59" s="90"/>
      <c r="AC59" s="90"/>
      <c r="AD59" s="90"/>
      <c r="AE59" s="90"/>
      <c r="AF59" s="90"/>
      <c r="AG59" s="90"/>
      <c r="AH59" s="90"/>
      <c r="AI59" s="138"/>
      <c r="AK59" s="90"/>
      <c r="AL59" s="90"/>
      <c r="AM59" s="90"/>
      <c r="AN59" s="90"/>
      <c r="AO59" s="90"/>
      <c r="AP59" s="90"/>
      <c r="AQ59" s="90"/>
      <c r="AR59" s="138"/>
      <c r="AT59" s="90"/>
      <c r="AU59" s="90"/>
      <c r="AV59" s="90"/>
      <c r="AW59" s="90"/>
      <c r="AX59" s="90"/>
      <c r="AY59" s="90"/>
      <c r="AZ59" s="90"/>
      <c r="BA59" s="139"/>
    </row>
    <row r="60" spans="1:26">
      <c r="A60" s="116"/>
      <c r="B60" s="117"/>
      <c r="C60" s="117"/>
      <c r="D60" s="117"/>
      <c r="E60" s="117"/>
      <c r="F60" s="117"/>
      <c r="G60" s="118"/>
      <c r="H60" s="85"/>
      <c r="J60" s="116"/>
      <c r="K60" s="117"/>
      <c r="L60" s="117"/>
      <c r="M60" s="117"/>
      <c r="N60" s="117"/>
      <c r="O60" s="117"/>
      <c r="P60" s="118"/>
      <c r="Q60" s="132"/>
      <c r="S60" s="90"/>
      <c r="T60" s="90"/>
      <c r="U60" s="90"/>
      <c r="V60" s="90"/>
      <c r="W60" s="90"/>
      <c r="X60" s="90"/>
      <c r="Y60" s="90"/>
      <c r="Z60" s="136"/>
    </row>
    <row r="64" spans="1:8">
      <c r="A64" s="12" t="s">
        <v>236</v>
      </c>
      <c r="B64" s="12"/>
      <c r="C64" s="12"/>
      <c r="D64" s="12"/>
      <c r="E64" s="12"/>
      <c r="F64" s="12"/>
      <c r="G64" s="12"/>
      <c r="H64" s="12"/>
    </row>
    <row r="65" spans="1:8">
      <c r="A65" s="12"/>
      <c r="B65" s="12"/>
      <c r="C65" s="12"/>
      <c r="D65" s="12"/>
      <c r="E65" s="12"/>
      <c r="F65" s="12"/>
      <c r="G65" s="12"/>
      <c r="H65" s="12"/>
    </row>
    <row r="66" spans="1:8">
      <c r="A66" s="12"/>
      <c r="B66" s="12"/>
      <c r="C66" s="12"/>
      <c r="D66" s="12"/>
      <c r="E66" s="12"/>
      <c r="F66" s="12"/>
      <c r="G66" s="12"/>
      <c r="H66" s="12"/>
    </row>
    <row r="67" spans="1:8">
      <c r="A67" s="12"/>
      <c r="B67" s="12"/>
      <c r="C67" s="12"/>
      <c r="D67" s="12"/>
      <c r="E67" s="12"/>
      <c r="F67" s="12"/>
      <c r="G67" s="12"/>
      <c r="H67" s="12"/>
    </row>
    <row r="68" spans="1:8">
      <c r="A68" s="12"/>
      <c r="B68" s="12"/>
      <c r="C68" s="12"/>
      <c r="D68" s="12"/>
      <c r="E68" s="12"/>
      <c r="F68" s="12"/>
      <c r="G68" s="12"/>
      <c r="H68" s="12"/>
    </row>
    <row r="69" spans="1:8">
      <c r="A69" s="12"/>
      <c r="B69" s="12"/>
      <c r="C69" s="12"/>
      <c r="D69" s="12"/>
      <c r="E69" s="12"/>
      <c r="F69" s="12"/>
      <c r="G69" s="12"/>
      <c r="H69" s="12"/>
    </row>
    <row r="70" spans="1:8">
      <c r="A70" s="12"/>
      <c r="B70" s="12"/>
      <c r="C70" s="12"/>
      <c r="D70" s="12"/>
      <c r="E70" s="12"/>
      <c r="F70" s="12"/>
      <c r="G70" s="12"/>
      <c r="H70" s="12"/>
    </row>
    <row r="71" spans="1:8">
      <c r="A71" s="12"/>
      <c r="B71" s="12"/>
      <c r="C71" s="12"/>
      <c r="D71" s="12"/>
      <c r="E71" s="12"/>
      <c r="F71" s="12"/>
      <c r="G71" s="12"/>
      <c r="H71" s="12"/>
    </row>
    <row r="72" spans="1:8">
      <c r="A72" s="12"/>
      <c r="B72" s="12"/>
      <c r="C72" s="12"/>
      <c r="D72" s="12"/>
      <c r="E72" s="12"/>
      <c r="F72" s="12"/>
      <c r="G72" s="12"/>
      <c r="H72" s="12"/>
    </row>
    <row r="73" spans="1:8">
      <c r="A73" s="12"/>
      <c r="B73" s="12"/>
      <c r="C73" s="12"/>
      <c r="D73" s="12"/>
      <c r="E73" s="12"/>
      <c r="F73" s="12"/>
      <c r="G73" s="12"/>
      <c r="H73" s="12"/>
    </row>
    <row r="74" spans="1:8">
      <c r="A74" s="12"/>
      <c r="B74" s="12"/>
      <c r="C74" s="12"/>
      <c r="D74" s="12"/>
      <c r="E74" s="12"/>
      <c r="F74" s="12"/>
      <c r="G74" s="12"/>
      <c r="H74" s="12"/>
    </row>
    <row r="75" spans="1:8">
      <c r="A75" s="12"/>
      <c r="B75" s="12"/>
      <c r="C75" s="12"/>
      <c r="D75" s="12"/>
      <c r="E75" s="12"/>
      <c r="F75" s="12"/>
      <c r="G75" s="12"/>
      <c r="H75" s="12"/>
    </row>
    <row r="76" spans="1:8">
      <c r="A76" s="12"/>
      <c r="B76" s="12"/>
      <c r="C76" s="12"/>
      <c r="D76" s="12"/>
      <c r="E76" s="12"/>
      <c r="F76" s="12"/>
      <c r="G76" s="12"/>
      <c r="H76" s="12"/>
    </row>
    <row r="77" spans="1:8">
      <c r="A77" s="12"/>
      <c r="B77" s="12"/>
      <c r="C77" s="12"/>
      <c r="D77" s="12"/>
      <c r="E77" s="12"/>
      <c r="F77" s="12"/>
      <c r="G77" s="12"/>
      <c r="H77" s="12"/>
    </row>
    <row r="78" spans="1:8">
      <c r="A78" s="12"/>
      <c r="B78" s="12"/>
      <c r="C78" s="12"/>
      <c r="D78" s="12"/>
      <c r="E78" s="12"/>
      <c r="F78" s="12"/>
      <c r="G78" s="12"/>
      <c r="H78" s="12"/>
    </row>
    <row r="79" spans="1:8">
      <c r="A79" s="12"/>
      <c r="B79" s="12"/>
      <c r="C79" s="12"/>
      <c r="D79" s="12"/>
      <c r="E79" s="12"/>
      <c r="F79" s="12"/>
      <c r="G79" s="12"/>
      <c r="H79" s="12"/>
    </row>
    <row r="80" spans="1:8">
      <c r="A80" s="12"/>
      <c r="B80" s="12"/>
      <c r="C80" s="12"/>
      <c r="D80" s="12"/>
      <c r="E80" s="12"/>
      <c r="F80" s="12"/>
      <c r="G80" s="12"/>
      <c r="H80" s="12"/>
    </row>
    <row r="81" spans="1:8">
      <c r="A81" s="12"/>
      <c r="B81" s="12"/>
      <c r="C81" s="12"/>
      <c r="D81" s="12"/>
      <c r="E81" s="12"/>
      <c r="F81" s="12"/>
      <c r="G81" s="12"/>
      <c r="H81" s="12"/>
    </row>
    <row r="82" spans="1:8">
      <c r="A82" s="12"/>
      <c r="B82" s="12"/>
      <c r="C82" s="12"/>
      <c r="D82" s="12"/>
      <c r="E82" s="12"/>
      <c r="F82" s="12"/>
      <c r="G82" s="12"/>
      <c r="H82" s="12"/>
    </row>
    <row r="83" spans="1:8">
      <c r="A83" s="7" t="s">
        <v>236</v>
      </c>
      <c r="B83" s="7"/>
      <c r="C83" s="7"/>
      <c r="D83" s="7"/>
      <c r="E83" s="7"/>
      <c r="F83" s="7"/>
      <c r="G83" s="7"/>
      <c r="H83" s="6" t="str">
        <f>IF(COUNTIF(H84:H92,"="&amp;IncompleteText),IncompleteText,IF(COUNTIF(H84:H92,"="&amp;ErrorText),ErrorText,OKText))</f>
        <v>BLANK</v>
      </c>
    </row>
    <row r="84" spans="1:8">
      <c r="A84" s="5" t="s">
        <v>237</v>
      </c>
      <c r="B84" s="5"/>
      <c r="C84" s="5"/>
      <c r="D84" s="5"/>
      <c r="E84" s="5"/>
      <c r="F84" s="5"/>
      <c r="G84" s="28"/>
      <c r="H84" s="6" t="str">
        <f>IF(ISBLANK(G84),IncompleteText,OKText)</f>
        <v>BLANK</v>
      </c>
    </row>
    <row r="85" spans="1:8">
      <c r="A85" s="5" t="s">
        <v>238</v>
      </c>
      <c r="B85" s="5"/>
      <c r="C85" s="5"/>
      <c r="D85" s="5"/>
      <c r="E85" s="5"/>
      <c r="F85" s="17"/>
      <c r="G85" s="28"/>
      <c r="H85" s="6" t="str">
        <f>IF(G$84="车队自制电路 Self-designed",OKText,IF(ISBLANK(G85),IncompleteText,IF(G85&gt;MaxTSVoltage,OKText,ErrorText)))</f>
        <v>BLANK</v>
      </c>
    </row>
    <row r="86" spans="1:8">
      <c r="A86" s="5" t="s">
        <v>239</v>
      </c>
      <c r="B86" s="5"/>
      <c r="C86" s="5"/>
      <c r="D86" s="5"/>
      <c r="E86" s="5"/>
      <c r="F86" s="17"/>
      <c r="G86" s="28"/>
      <c r="H86" s="6" t="str">
        <f>IF(G$84="车队自制电路 Self-designed",OKText,IF(ISBLANK(G86),IncompleteText,OKText))</f>
        <v>BLANK</v>
      </c>
    </row>
    <row r="87" spans="1:8">
      <c r="A87" s="5" t="s">
        <v>240</v>
      </c>
      <c r="B87" s="5"/>
      <c r="C87" s="5"/>
      <c r="D87" s="5"/>
      <c r="E87" s="5"/>
      <c r="F87" s="17"/>
      <c r="G87" s="28"/>
      <c r="H87" s="6" t="str">
        <f>IF(G$84="供应商采购 From suppliers",OKText,IF(ISBLANK(G87),IncompleteText,IF(G87,OKText,ErrorText)))</f>
        <v>BLANK</v>
      </c>
    </row>
    <row r="88" ht="31.5" customHeight="1" spans="1:8">
      <c r="A88" s="33" t="s">
        <v>241</v>
      </c>
      <c r="B88" s="33"/>
      <c r="C88" s="33"/>
      <c r="D88" s="33"/>
      <c r="E88" s="33"/>
      <c r="F88" s="35"/>
      <c r="G88" s="28"/>
      <c r="H88" s="6" t="str">
        <f>IF(G$84="供应商采购 From suppliers",OKText,IF(ISBLANK(G88),IncompleteText,IF(ISBLANK(G88),ErrorText,OKText)))</f>
        <v>BLANK</v>
      </c>
    </row>
    <row r="89" spans="1:8">
      <c r="A89" s="5" t="s">
        <v>242</v>
      </c>
      <c r="B89" s="5"/>
      <c r="C89" s="5"/>
      <c r="D89" s="5"/>
      <c r="E89" s="5"/>
      <c r="F89" s="17"/>
      <c r="G89" s="71"/>
      <c r="H89" s="6" t="str">
        <f>IF(G$84="供应商采购 From suppliers",OKText,IF(ISBLANK(G89),IncompleteText,OKText))</f>
        <v>BLANK</v>
      </c>
    </row>
    <row r="90" spans="1:8">
      <c r="A90" s="5" t="s">
        <v>243</v>
      </c>
      <c r="B90" s="5"/>
      <c r="C90" s="5"/>
      <c r="D90" s="5"/>
      <c r="E90" s="5"/>
      <c r="F90" s="17"/>
      <c r="G90" s="28"/>
      <c r="H90" s="6" t="str">
        <f>IF(G$84="供应商采购 From suppliers",OKText,IF(ISBLANK(G90),IncompleteText,IF(ISBLANK(G90),ErrorText,OKText)))</f>
        <v>BLANK</v>
      </c>
    </row>
    <row r="91" spans="1:8">
      <c r="A91" s="5" t="s">
        <v>244</v>
      </c>
      <c r="B91" s="5"/>
      <c r="C91" s="5"/>
      <c r="D91" s="5"/>
      <c r="E91" s="5"/>
      <c r="F91" s="17"/>
      <c r="G91" s="28"/>
      <c r="H91" s="6" t="str">
        <f>IF(ISBLANK(G91),IncompleteText,OKText)</f>
        <v>BLANK</v>
      </c>
    </row>
    <row r="92" ht="29.25" customHeight="1" spans="1:8">
      <c r="A92" s="33" t="s">
        <v>245</v>
      </c>
      <c r="B92" s="33"/>
      <c r="C92" s="33"/>
      <c r="D92" s="33"/>
      <c r="E92" s="33"/>
      <c r="F92" s="35"/>
      <c r="G92" s="28"/>
      <c r="H92" s="6" t="str">
        <f>IF(ISBLANK(G92),IncompleteText,IF(G92,OKText,ErrorText))</f>
        <v>BLANK</v>
      </c>
    </row>
    <row r="94" spans="1:7">
      <c r="A94" s="68" t="s">
        <v>246</v>
      </c>
      <c r="B94" s="36"/>
      <c r="C94" s="36"/>
      <c r="D94" s="36"/>
      <c r="E94" s="36"/>
      <c r="F94" s="36"/>
      <c r="G94" s="36"/>
    </row>
    <row r="95" spans="1:7">
      <c r="A95" s="90"/>
      <c r="B95" s="90"/>
      <c r="C95" s="90"/>
      <c r="D95" s="90"/>
      <c r="E95" s="90"/>
      <c r="F95" s="90"/>
      <c r="G95" s="90"/>
    </row>
    <row r="96" spans="1:7">
      <c r="A96" s="90"/>
      <c r="B96" s="90"/>
      <c r="C96" s="90"/>
      <c r="D96" s="90"/>
      <c r="E96" s="90"/>
      <c r="F96" s="90"/>
      <c r="G96" s="90"/>
    </row>
    <row r="97" spans="1:7">
      <c r="A97" s="90"/>
      <c r="B97" s="90"/>
      <c r="C97" s="90"/>
      <c r="D97" s="90"/>
      <c r="E97" s="90"/>
      <c r="F97" s="90"/>
      <c r="G97" s="90"/>
    </row>
    <row r="98" spans="1:7">
      <c r="A98" s="90"/>
      <c r="B98" s="90"/>
      <c r="C98" s="90"/>
      <c r="D98" s="90"/>
      <c r="E98" s="90"/>
      <c r="F98" s="90"/>
      <c r="G98" s="90"/>
    </row>
  </sheetData>
  <sheetProtection algorithmName="SHA-512" hashValue="tOcjszcbtoU5sz6TM6pQEPMkOOUr17d/YML4GKCorew56+1yv12jWiAIXgOd2m6moI/EtMFvucwY1S18b5/hIg==" saltValue="hyaNZff3MMdLNS9jYXf1iw==" spinCount="100000" sheet="1" selectLockedCells="1" insertHyperlinks="0" scenarios="1"/>
  <mergeCells count="176">
    <mergeCell ref="A3:D3"/>
    <mergeCell ref="A4:D4"/>
    <mergeCell ref="A5:D5"/>
    <mergeCell ref="A6:D6"/>
    <mergeCell ref="A8:I8"/>
    <mergeCell ref="K8:P8"/>
    <mergeCell ref="R8:V8"/>
    <mergeCell ref="X8:AC8"/>
    <mergeCell ref="AE8:AK8"/>
    <mergeCell ref="A9:C9"/>
    <mergeCell ref="D9:E9"/>
    <mergeCell ref="K9:N9"/>
    <mergeCell ref="O9:P9"/>
    <mergeCell ref="R9:T9"/>
    <mergeCell ref="U9:V9"/>
    <mergeCell ref="X9:AA9"/>
    <mergeCell ref="AB9:AC9"/>
    <mergeCell ref="K10:N10"/>
    <mergeCell ref="O10:P10"/>
    <mergeCell ref="R10:T10"/>
    <mergeCell ref="X10:AA10"/>
    <mergeCell ref="L11:M11"/>
    <mergeCell ref="O11:P11"/>
    <mergeCell ref="R11:T11"/>
    <mergeCell ref="U11:V11"/>
    <mergeCell ref="X11:AA11"/>
    <mergeCell ref="F12:G12"/>
    <mergeCell ref="H12:I12"/>
    <mergeCell ref="K12:N12"/>
    <mergeCell ref="R12:T12"/>
    <mergeCell ref="X12:AA12"/>
    <mergeCell ref="AB12:AC12"/>
    <mergeCell ref="F13:G13"/>
    <mergeCell ref="H13:I13"/>
    <mergeCell ref="K13:N13"/>
    <mergeCell ref="R13:V13"/>
    <mergeCell ref="X13:AA13"/>
    <mergeCell ref="F14:G14"/>
    <mergeCell ref="H14:I14"/>
    <mergeCell ref="K14:N14"/>
    <mergeCell ref="O14:P14"/>
    <mergeCell ref="R14:T14"/>
    <mergeCell ref="U14:V14"/>
    <mergeCell ref="X14:AA14"/>
    <mergeCell ref="F15:G15"/>
    <mergeCell ref="H15:I15"/>
    <mergeCell ref="K15:N15"/>
    <mergeCell ref="O15:P15"/>
    <mergeCell ref="R15:T15"/>
    <mergeCell ref="X15:AA15"/>
    <mergeCell ref="AB15:AC15"/>
    <mergeCell ref="F16:G16"/>
    <mergeCell ref="H16:I16"/>
    <mergeCell ref="K16:P16"/>
    <mergeCell ref="R16:T16"/>
    <mergeCell ref="X16:AA16"/>
    <mergeCell ref="F17:G17"/>
    <mergeCell ref="H17:I17"/>
    <mergeCell ref="K17:N17"/>
    <mergeCell ref="R17:T17"/>
    <mergeCell ref="X17:AA17"/>
    <mergeCell ref="F18:G18"/>
    <mergeCell ref="H18:I18"/>
    <mergeCell ref="K18:N18"/>
    <mergeCell ref="O18:P18"/>
    <mergeCell ref="R18:V18"/>
    <mergeCell ref="X18:AA18"/>
    <mergeCell ref="F19:G19"/>
    <mergeCell ref="H19:I19"/>
    <mergeCell ref="K19:N19"/>
    <mergeCell ref="O19:P19"/>
    <mergeCell ref="R19:T19"/>
    <mergeCell ref="U19:V19"/>
    <mergeCell ref="F20:G20"/>
    <mergeCell ref="H20:I20"/>
    <mergeCell ref="K20:N20"/>
    <mergeCell ref="O20:P20"/>
    <mergeCell ref="R20:T20"/>
    <mergeCell ref="F21:G21"/>
    <mergeCell ref="H21:I21"/>
    <mergeCell ref="K21:N21"/>
    <mergeCell ref="O21:P21"/>
    <mergeCell ref="R21:T21"/>
    <mergeCell ref="F22:G22"/>
    <mergeCell ref="H22:I22"/>
    <mergeCell ref="K22:P22"/>
    <mergeCell ref="F23:G23"/>
    <mergeCell ref="H23:I23"/>
    <mergeCell ref="K23:N23"/>
    <mergeCell ref="O23:P23"/>
    <mergeCell ref="F24:G24"/>
    <mergeCell ref="H24:I24"/>
    <mergeCell ref="K24:N24"/>
    <mergeCell ref="F25:G25"/>
    <mergeCell ref="H25:I25"/>
    <mergeCell ref="K25:N25"/>
    <mergeCell ref="F26:G26"/>
    <mergeCell ref="H26:I26"/>
    <mergeCell ref="K26:N26"/>
    <mergeCell ref="O26:P26"/>
    <mergeCell ref="F27:G27"/>
    <mergeCell ref="H27:I27"/>
    <mergeCell ref="K27:N27"/>
    <mergeCell ref="O27:P27"/>
    <mergeCell ref="F28:G28"/>
    <mergeCell ref="H28:I28"/>
    <mergeCell ref="K28:N28"/>
    <mergeCell ref="F29:G29"/>
    <mergeCell ref="H29:I29"/>
    <mergeCell ref="K29:N29"/>
    <mergeCell ref="K30:N30"/>
    <mergeCell ref="A52:G52"/>
    <mergeCell ref="J52:P52"/>
    <mergeCell ref="S52:Y52"/>
    <mergeCell ref="AB52:AH52"/>
    <mergeCell ref="AK52:AQ52"/>
    <mergeCell ref="AT52:AZ52"/>
    <mergeCell ref="A53:F53"/>
    <mergeCell ref="J53:O53"/>
    <mergeCell ref="S53:X53"/>
    <mergeCell ref="AB53:AG53"/>
    <mergeCell ref="AK53:AP53"/>
    <mergeCell ref="AT53:AY53"/>
    <mergeCell ref="A54:F54"/>
    <mergeCell ref="J54:O54"/>
    <mergeCell ref="S54:X54"/>
    <mergeCell ref="AB54:AH54"/>
    <mergeCell ref="AK54:AQ54"/>
    <mergeCell ref="AT54:AZ54"/>
    <mergeCell ref="A55:F55"/>
    <mergeCell ref="J55:O55"/>
    <mergeCell ref="A56:F56"/>
    <mergeCell ref="J56:O56"/>
    <mergeCell ref="A57:G57"/>
    <mergeCell ref="J57:P57"/>
    <mergeCell ref="A83:G83"/>
    <mergeCell ref="A84:F84"/>
    <mergeCell ref="A85:F85"/>
    <mergeCell ref="A86:F86"/>
    <mergeCell ref="A87:F87"/>
    <mergeCell ref="A88:F88"/>
    <mergeCell ref="A89:F89"/>
    <mergeCell ref="A90:F90"/>
    <mergeCell ref="A91:F91"/>
    <mergeCell ref="A92:F92"/>
    <mergeCell ref="A94:G94"/>
    <mergeCell ref="A10:A11"/>
    <mergeCell ref="B10:B11"/>
    <mergeCell ref="C10:C11"/>
    <mergeCell ref="D10:D11"/>
    <mergeCell ref="E10:E11"/>
    <mergeCell ref="H58:H60"/>
    <mergeCell ref="Q58:Q60"/>
    <mergeCell ref="Z55:Z56"/>
    <mergeCell ref="Z57:Z60"/>
    <mergeCell ref="AI55:AI59"/>
    <mergeCell ref="AR55:AR59"/>
    <mergeCell ref="BA55:BA59"/>
    <mergeCell ref="A95:G98"/>
    <mergeCell ref="A64:H82"/>
    <mergeCell ref="AK55:AQ59"/>
    <mergeCell ref="AT55:AZ59"/>
    <mergeCell ref="S55:Y56"/>
    <mergeCell ref="AB55:AH59"/>
    <mergeCell ref="AE9:AK29"/>
    <mergeCell ref="AB33:AI51"/>
    <mergeCell ref="AK33:AR51"/>
    <mergeCell ref="AT33:BA51"/>
    <mergeCell ref="S33:Z51"/>
    <mergeCell ref="S57:Y60"/>
    <mergeCell ref="J58:P60"/>
    <mergeCell ref="A58:G60"/>
    <mergeCell ref="A33:H51"/>
    <mergeCell ref="J33:Q51"/>
    <mergeCell ref="F10:G11"/>
    <mergeCell ref="H10:I11"/>
  </mergeCells>
  <conditionalFormatting sqref="K11:L11 N11:O11">
    <cfRule type="expression" dxfId="1" priority="23">
      <formula>$O$10="车队自制 Team design"</formula>
    </cfRule>
  </conditionalFormatting>
  <conditionalFormatting sqref="K14:K15 O14:O15">
    <cfRule type="expression" dxfId="1" priority="22">
      <formula>$O$10="供应商提供 From Suppliers"</formula>
    </cfRule>
  </conditionalFormatting>
  <conditionalFormatting sqref="K20 O20:P20">
    <cfRule type="expression" dxfId="1" priority="21">
      <formula>$O$19&lt;&gt;"其他 Other"</formula>
    </cfRule>
  </conditionalFormatting>
  <conditionalFormatting sqref="K24 O24:Q24">
    <cfRule type="expression" dxfId="2" priority="20">
      <formula>$O$23="极耳 Cell tabs"</formula>
    </cfRule>
  </conditionalFormatting>
  <conditionalFormatting sqref="A85:H86">
    <cfRule type="expression" dxfId="3" priority="2">
      <formula>$G$84="车队自制电路 Self-designed"</formula>
    </cfRule>
  </conditionalFormatting>
  <conditionalFormatting sqref="A87:H90">
    <cfRule type="expression" dxfId="3" priority="1">
      <formula>$G$84="供应商采购 From Suppliers"</formula>
    </cfRule>
  </conditionalFormatting>
  <dataValidations count="12">
    <dataValidation type="list" allowBlank="1" showInputMessage="1" showErrorMessage="1" sqref="E3">
      <formula1>"并联 Parallel,串联 Serial"</formula1>
    </dataValidation>
    <dataValidation type="list" allowBlank="1" showInputMessage="1" showErrorMessage="1" sqref="D9:E9">
      <formula1>"先并后串 Parallel then serial, 先串后并 Serial then parallel"</formula1>
    </dataValidation>
    <dataValidation type="list" allowBlank="1" showInputMessage="1" showErrorMessage="1" sqref="O9:P9">
      <formula1>"分布式 Distributed,集中式 Centralized"</formula1>
    </dataValidation>
    <dataValidation type="list" allowBlank="1" showInputMessage="1" showErrorMessage="1" sqref="U9:V9">
      <formula1>ConnectorNames</formula1>
    </dataValidation>
    <dataValidation type="list" allowBlank="1" showInputMessage="1" showErrorMessage="1" sqref="AB9:AC9 AB12:AC12 AB15">
      <formula1>InsulationNames</formula1>
    </dataValidation>
    <dataValidation type="list" allowBlank="1" showInputMessage="1" showErrorMessage="1" sqref="O10:P10">
      <formula1>"供应商提供 From Suppliers, 车队设计 Team design"</formula1>
    </dataValidation>
    <dataValidation type="list" allowBlank="1" showInputMessage="1" showErrorMessage="1" sqref="U11:V11 O18:P18 U19:V19 G91">
      <formula1>FuseName</formula1>
    </dataValidation>
    <dataValidation type="list" allowBlank="1" showInputMessage="1" showErrorMessage="1" sqref="U14">
      <formula1>ContactorNames</formula1>
    </dataValidation>
    <dataValidation type="list" allowBlank="1" showInputMessage="1" showErrorMessage="1" sqref="O19:P19">
      <formula1>"BMS PCB,导线 Wiring, 其他 Other"</formula1>
    </dataValidation>
    <dataValidation type="list" allowBlank="1" showInputMessage="1" showErrorMessage="1" sqref="O23:P23">
      <formula1>"极耳 Cell tabs,铜牌 Busbar"</formula1>
    </dataValidation>
    <dataValidation type="list" allowBlank="1" showInputMessage="1" showErrorMessage="1" sqref="AH53 AQ53 AZ53 G90 G92 G53:G56 G87:G88 P53:P56 Y53:Y54">
      <formula1>"TRUE,FALSE"</formula1>
    </dataValidation>
    <dataValidation type="list" allowBlank="1" showInputMessage="1" showErrorMessage="1" sqref="G84">
      <formula1>"车队自制电路 Self-designed,供应商采购 From suppliers"</formula1>
    </dataValidation>
  </dataValidations>
  <pageMargins left="0.7" right="0.7" top="0.75" bottom="0.75" header="0.3" footer="0.3"/>
  <pageSetup paperSize="9" orientation="portrait"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7"/>
  <sheetViews>
    <sheetView workbookViewId="0">
      <selection activeCell="A22" sqref="A22:G37"/>
    </sheetView>
  </sheetViews>
  <sheetFormatPr defaultColWidth="9" defaultRowHeight="14"/>
  <cols>
    <col min="1" max="1" width="12" customWidth="1"/>
    <col min="3" max="3" width="16.625" customWidth="1"/>
    <col min="9" max="9" width="23" customWidth="1"/>
  </cols>
  <sheetData>
    <row r="1" spans="1:20">
      <c r="A1" s="67" t="s">
        <v>23</v>
      </c>
      <c r="B1" s="6" t="str" cm="1">
        <f ca="1" t="array" ref="B1">IF(SUM(COUNTIF(INDIRECT({"$F$2","$L$2","$R$2"}),"="&amp;IncompleteText)),IncompleteText,IF(SUM(COUNTIF(INDIRECT({"$F$2","$L$2","$R$2"}),"="&amp;ErrorText)),ErrorText,OKText))</f>
        <v>BLANK</v>
      </c>
      <c r="C1" s="16"/>
      <c r="D1" s="16"/>
      <c r="E1" s="16"/>
      <c r="F1" s="16"/>
      <c r="G1" s="16"/>
      <c r="H1" s="16"/>
      <c r="I1" s="16"/>
      <c r="J1" s="16"/>
      <c r="K1" s="16"/>
      <c r="L1" s="16"/>
      <c r="M1" s="16"/>
      <c r="N1" s="16"/>
      <c r="O1" s="16"/>
      <c r="P1" s="16"/>
      <c r="Q1" s="16"/>
      <c r="R1" s="16"/>
      <c r="S1" s="16"/>
      <c r="T1" s="16"/>
    </row>
    <row r="2" spans="1:20">
      <c r="A2" s="7" t="s">
        <v>65</v>
      </c>
      <c r="B2" s="7"/>
      <c r="C2" s="7"/>
      <c r="D2" s="7"/>
      <c r="E2" s="7"/>
      <c r="F2" s="6" t="str">
        <f>IF(COUNTIF(F3:F19,"="&amp;IncompleteText),IncompleteText,IF(COUNTIF(F3:F19,"="&amp;ErrorText),ErrorText,OKText))</f>
        <v>BLANK</v>
      </c>
      <c r="G2" s="7" t="s">
        <v>66</v>
      </c>
      <c r="H2" s="7"/>
      <c r="I2" s="7"/>
      <c r="J2" s="7"/>
      <c r="K2" s="7"/>
      <c r="L2" s="6" t="str">
        <f>IF(COUNTIF(L3:L15,"="&amp;IncompleteText),IncompleteText,IF(COUNTIF(L3:L15,"="&amp;ErrorText),ErrorText,OKText))</f>
        <v>BLANK</v>
      </c>
      <c r="M2" s="36" t="s">
        <v>247</v>
      </c>
      <c r="N2" s="36"/>
      <c r="O2" s="36"/>
      <c r="P2" s="36"/>
      <c r="Q2" s="36"/>
      <c r="R2" s="6" t="str">
        <f>IF(COUNTIF(R3:R8,"="&amp;IncompleteText),IncompleteText,IF(COUNTIF(R3:R8,"="&amp;ErrorText),ErrorText,OKText))</f>
        <v>BLANK</v>
      </c>
      <c r="S2" s="38" t="s">
        <v>248</v>
      </c>
      <c r="T2" s="54"/>
    </row>
    <row r="3" spans="1:20">
      <c r="A3" s="5" t="s">
        <v>249</v>
      </c>
      <c r="B3" s="5"/>
      <c r="C3" s="17"/>
      <c r="D3" s="18"/>
      <c r="E3" s="19"/>
      <c r="F3" s="6" t="str">
        <f>IF(ISBLANK(D3),IncompleteText,OKText)</f>
        <v>BLANK</v>
      </c>
      <c r="G3" s="5" t="s">
        <v>249</v>
      </c>
      <c r="H3" s="5"/>
      <c r="I3" s="17"/>
      <c r="J3" s="18"/>
      <c r="K3" s="19"/>
      <c r="L3" s="6" t="str">
        <f>IF(ISBLANK(J3),IncompleteText,OKText)</f>
        <v>BLANK</v>
      </c>
      <c r="M3" s="5" t="s">
        <v>249</v>
      </c>
      <c r="N3" s="5"/>
      <c r="O3" s="17"/>
      <c r="P3" s="18"/>
      <c r="Q3" s="19"/>
      <c r="R3" s="6" t="str">
        <f>IF(ISBLANK(P3),IncompleteText,OKText)</f>
        <v>BLANK</v>
      </c>
      <c r="S3" s="65" t="s">
        <v>250</v>
      </c>
      <c r="T3" s="66"/>
    </row>
    <row r="4" spans="1:20">
      <c r="A4" s="5" t="s">
        <v>251</v>
      </c>
      <c r="B4" s="5"/>
      <c r="C4" s="17"/>
      <c r="D4" s="28"/>
      <c r="E4" s="5"/>
      <c r="F4" s="6" t="str">
        <f>IF(ISBLANK(D4),IncompleteText,OKText)</f>
        <v>BLANK</v>
      </c>
      <c r="G4" s="5" t="s">
        <v>251</v>
      </c>
      <c r="H4" s="5"/>
      <c r="I4" s="17"/>
      <c r="J4" s="28"/>
      <c r="K4" s="5"/>
      <c r="L4" s="6" t="str">
        <f>IF(ISBLANK(J4),IncompleteText,OKText)</f>
        <v>BLANK</v>
      </c>
      <c r="M4" s="5" t="s">
        <v>251</v>
      </c>
      <c r="N4" s="5"/>
      <c r="O4" s="17"/>
      <c r="P4" s="46"/>
      <c r="Q4" s="46"/>
      <c r="R4" s="6" t="str">
        <f>IF(ISBLANK(P4),IncompleteText,OKText)</f>
        <v>BLANK</v>
      </c>
      <c r="S4" s="66"/>
      <c r="T4" s="66"/>
    </row>
    <row r="5" spans="1:20">
      <c r="A5" s="5" t="s">
        <v>252</v>
      </c>
      <c r="B5" s="5"/>
      <c r="C5" s="17"/>
      <c r="D5" s="28"/>
      <c r="E5" s="5"/>
      <c r="F5" s="6" t="str">
        <f>IF(ISBLANK(D5),IncompleteText,OKText)</f>
        <v>BLANK</v>
      </c>
      <c r="G5" s="5" t="s">
        <v>252</v>
      </c>
      <c r="H5" s="5"/>
      <c r="I5" s="17"/>
      <c r="J5" s="28"/>
      <c r="K5" s="5"/>
      <c r="L5" s="6" t="str">
        <f>IF(ISBLANK(J5),IncompleteText,OKText)</f>
        <v>BLANK</v>
      </c>
      <c r="M5" s="5" t="s">
        <v>252</v>
      </c>
      <c r="N5" s="5"/>
      <c r="O5" s="17"/>
      <c r="P5" s="46"/>
      <c r="Q5" s="46"/>
      <c r="R5" s="6" t="str">
        <f>IF(ISBLANK(P5),IncompleteText,OKText)</f>
        <v>BLANK</v>
      </c>
      <c r="S5" s="66"/>
      <c r="T5" s="66"/>
    </row>
    <row r="6" spans="1:20">
      <c r="A6" s="5" t="s">
        <v>253</v>
      </c>
      <c r="B6" s="5"/>
      <c r="C6" s="17"/>
      <c r="D6" s="34" t="e">
        <f>VLOOKUP(D3,ResistorsTable,3,)*D5/D4</f>
        <v>#N/A</v>
      </c>
      <c r="E6" s="5" t="s">
        <v>254</v>
      </c>
      <c r="G6" s="5" t="s">
        <v>253</v>
      </c>
      <c r="H6" s="5"/>
      <c r="I6" s="17"/>
      <c r="J6" s="34" t="e">
        <f>VLOOKUP(J3,ResistorsTable,3,)*J5/J4</f>
        <v>#N/A</v>
      </c>
      <c r="K6" s="5" t="s">
        <v>254</v>
      </c>
      <c r="M6" s="5" t="s">
        <v>253</v>
      </c>
      <c r="N6" s="5"/>
      <c r="O6" s="17"/>
      <c r="P6" s="34" t="e">
        <f>VLOOKUP(P3,ResistorsTable,3,)*P5/P4</f>
        <v>#N/A</v>
      </c>
      <c r="Q6" s="5" t="s">
        <v>254</v>
      </c>
      <c r="R6" s="6" t="e">
        <f>IF(MaxTSVoltage&lt;=200,IF(P6=5000,OKText,ErrorText),IF(MaxTSVoltage&gt;400,IF(P6=15000,OKText,ErrorText),IF(P6=10000,OKText,ErrorText)))</f>
        <v>#N/A</v>
      </c>
      <c r="S6" s="66"/>
      <c r="T6" s="66"/>
    </row>
    <row r="7" spans="1:20">
      <c r="A7" s="5" t="s">
        <v>255</v>
      </c>
      <c r="B7" s="5"/>
      <c r="C7" s="17"/>
      <c r="D7" s="34" t="e">
        <f>VLOOKUP(D3,ResistorsTable,4,FALSE)*D4*D5</f>
        <v>#N/A</v>
      </c>
      <c r="E7" s="5" t="s">
        <v>256</v>
      </c>
      <c r="G7" s="5" t="s">
        <v>255</v>
      </c>
      <c r="H7" s="5"/>
      <c r="I7" s="17"/>
      <c r="J7" s="34" t="e">
        <f>VLOOKUP(J3,ResistorsTable,4,FALSE)*J4*J5</f>
        <v>#N/A</v>
      </c>
      <c r="K7" s="5" t="s">
        <v>256</v>
      </c>
      <c r="L7" s="6" t="e">
        <f>IF(J7=0,IncompleteText,IF(J7&gt;=J9,OKText,ErrorText))</f>
        <v>#N/A</v>
      </c>
      <c r="M7" s="5" t="s">
        <v>255</v>
      </c>
      <c r="N7" s="5"/>
      <c r="O7" s="17"/>
      <c r="P7" s="34" t="e">
        <f>VLOOKUP(P3,ResistorsTable,4,FALSE)*P5*P4</f>
        <v>#N/A</v>
      </c>
      <c r="Q7" s="5" t="s">
        <v>256</v>
      </c>
      <c r="R7" s="6" t="e">
        <f>IF(P7&lt;P9,ErrorText,OKText)</f>
        <v>#N/A</v>
      </c>
      <c r="S7" s="66"/>
      <c r="T7" s="66"/>
    </row>
    <row r="8" spans="1:20">
      <c r="A8" s="5" t="s">
        <v>257</v>
      </c>
      <c r="B8" s="5"/>
      <c r="C8" s="17"/>
      <c r="D8" s="28"/>
      <c r="E8" s="5" t="s">
        <v>256</v>
      </c>
      <c r="F8" s="6" t="str">
        <f>IF(ISBLANK(D8),IncompleteText,OKText)</f>
        <v>BLANK</v>
      </c>
      <c r="G8" s="5" t="s">
        <v>258</v>
      </c>
      <c r="H8" s="5"/>
      <c r="I8" s="17"/>
      <c r="J8" s="34" t="e">
        <f>VLOOKUP(J3,ResistorsTable,2,FALSE)*J5</f>
        <v>#N/A</v>
      </c>
      <c r="K8" s="5" t="s">
        <v>179</v>
      </c>
      <c r="L8" s="6" t="e">
        <f>IF(J8=0,IncompleteText,IF(J8&lt;MaxTSVoltage,ErrorText,OKText))</f>
        <v>#N/A</v>
      </c>
      <c r="M8" s="5" t="s">
        <v>258</v>
      </c>
      <c r="N8" s="5"/>
      <c r="O8" s="17"/>
      <c r="P8" s="34" t="e">
        <f>VLOOKUP(P3,ResistorsTable,2,FALSE)*P5</f>
        <v>#N/A</v>
      </c>
      <c r="Q8" s="5" t="s">
        <v>18</v>
      </c>
      <c r="R8" s="6" t="e">
        <f>IF(P8&lt;MaxTSVoltage,ErrorText,OKText)</f>
        <v>#N/A</v>
      </c>
      <c r="S8" s="66"/>
      <c r="T8" s="66"/>
    </row>
    <row r="9" spans="1:18">
      <c r="A9" s="5" t="s">
        <v>258</v>
      </c>
      <c r="B9" s="5"/>
      <c r="C9" s="17"/>
      <c r="D9" s="34" t="e">
        <f>VLOOKUP(D3,ResistorsTable,2,FALSE)*D5</f>
        <v>#N/A</v>
      </c>
      <c r="E9" s="5" t="s">
        <v>179</v>
      </c>
      <c r="F9" s="6" t="e">
        <f>IF(D9&lt;MaxTSVoltage,ErrorText,OKText)</f>
        <v>#N/A</v>
      </c>
      <c r="G9" s="5" t="s">
        <v>259</v>
      </c>
      <c r="H9" s="5"/>
      <c r="I9" s="17"/>
      <c r="J9" s="34" t="e">
        <f>MaxTSVoltage^2/DischargeRes</f>
        <v>#N/A</v>
      </c>
      <c r="K9" s="5" t="s">
        <v>256</v>
      </c>
      <c r="M9" s="5" t="s">
        <v>260</v>
      </c>
      <c r="N9" s="5"/>
      <c r="O9" s="17"/>
      <c r="P9" s="34" t="e">
        <f>MaxTSVoltage^2/(2*P6)</f>
        <v>#N/A</v>
      </c>
      <c r="Q9" s="5" t="s">
        <v>256</v>
      </c>
      <c r="R9" s="6" t="str">
        <f>IF(ISNA(P9),IncompleteText,IF((P9/2)&lt;=P7,OKText,ErrorText))</f>
        <v>BLANK</v>
      </c>
    </row>
    <row r="10" spans="1:11">
      <c r="A10" s="5" t="s">
        <v>261</v>
      </c>
      <c r="B10" s="5"/>
      <c r="C10" s="17"/>
      <c r="D10" s="46"/>
      <c r="E10" s="5" t="s">
        <v>262</v>
      </c>
      <c r="F10" s="6" t="str">
        <f>IF(ISBLANK(BusCap),IncompleteText,OKText)</f>
        <v>BLANK</v>
      </c>
      <c r="G10" s="5" t="s">
        <v>263</v>
      </c>
      <c r="H10" s="5"/>
      <c r="I10" s="17"/>
      <c r="J10" s="92" t="e">
        <f>MaxTSVoltage/DischargeRes</f>
        <v>#N/A</v>
      </c>
      <c r="K10" s="5" t="s">
        <v>20</v>
      </c>
    </row>
    <row r="11" spans="1:11">
      <c r="A11" s="5" t="s">
        <v>264</v>
      </c>
      <c r="B11" s="5"/>
      <c r="C11" s="17"/>
      <c r="D11" s="28"/>
      <c r="E11" s="5" t="s">
        <v>206</v>
      </c>
      <c r="F11" s="6" t="str">
        <f>IF(ISBLANK(D11),IncompleteText,IF(D11&gt;=95,OKText,ErrorText))</f>
        <v>BLANK</v>
      </c>
      <c r="G11" s="5" t="s">
        <v>265</v>
      </c>
      <c r="H11" s="5"/>
      <c r="I11" s="5"/>
      <c r="J11" s="34" t="e">
        <f>-LN(60/MaxTSVoltage)*DischargeRes*(BusCap/1000)</f>
        <v>#DIV/0!</v>
      </c>
      <c r="K11" s="5" t="s">
        <v>266</v>
      </c>
    </row>
    <row r="12" spans="1:12">
      <c r="A12" s="5" t="s">
        <v>267</v>
      </c>
      <c r="B12" s="5"/>
      <c r="C12" s="17"/>
      <c r="D12" s="34" t="e">
        <f>MaxTSVoltage^2/PrechargeRes</f>
        <v>#N/A</v>
      </c>
      <c r="E12" s="5" t="s">
        <v>256</v>
      </c>
      <c r="G12" s="5" t="s">
        <v>268</v>
      </c>
      <c r="H12" s="5"/>
      <c r="I12" s="17"/>
      <c r="J12" s="20"/>
      <c r="K12" s="20"/>
      <c r="L12" s="6" t="str">
        <f>IF(ISBLANK(J12),IncompleteText,OKText)</f>
        <v>BLANK</v>
      </c>
    </row>
    <row r="13" spans="1:12">
      <c r="A13" s="5" t="s">
        <v>269</v>
      </c>
      <c r="B13" s="5"/>
      <c r="C13" s="17"/>
      <c r="D13" s="92" t="e">
        <f>MaxTSVoltage/PrechargeRes</f>
        <v>#N/A</v>
      </c>
      <c r="E13" s="5" t="s">
        <v>20</v>
      </c>
      <c r="G13" s="5" t="s">
        <v>270</v>
      </c>
      <c r="H13" s="5"/>
      <c r="I13" s="17"/>
      <c r="J13" s="34" t="e">
        <f>VLOOKUP(J12,ContactorsTable,2,FALSE)</f>
        <v>#N/A</v>
      </c>
      <c r="K13" s="5" t="s">
        <v>18</v>
      </c>
      <c r="L13" s="6" t="e">
        <f>IF(J13&lt;MaxTSVoltage,ErrorText,OKText)</f>
        <v>#N/A</v>
      </c>
    </row>
    <row r="14" spans="1:12">
      <c r="A14" s="5" t="s">
        <v>271</v>
      </c>
      <c r="B14" s="5"/>
      <c r="C14" s="17"/>
      <c r="D14" s="92" t="e">
        <f>-LN(0.05)*(BusCap/1000)*PrechargeRes</f>
        <v>#N/A</v>
      </c>
      <c r="E14" s="5" t="s">
        <v>272</v>
      </c>
      <c r="G14" s="5" t="s">
        <v>273</v>
      </c>
      <c r="H14" s="5"/>
      <c r="I14" s="17"/>
      <c r="J14" s="34" t="e">
        <f>VLOOKUP(J12,ContactorsTable,3,FALSE)</f>
        <v>#N/A</v>
      </c>
      <c r="K14" s="5" t="s">
        <v>20</v>
      </c>
      <c r="L14" s="6" t="e">
        <f>IF(J14&lt;J10,ErrorText,OKText)</f>
        <v>#N/A</v>
      </c>
    </row>
    <row r="15" spans="1:12">
      <c r="A15" s="5" t="s">
        <v>274</v>
      </c>
      <c r="B15" s="5"/>
      <c r="C15" s="17"/>
      <c r="D15" s="92" t="e">
        <f>MaxTSVoltage^2*(BusCap/1000)/2*(1-EXP(-D14*2/(PrechargeRes*(BusCap/1000))))</f>
        <v>#N/A</v>
      </c>
      <c r="E15" s="5" t="s">
        <v>275</v>
      </c>
      <c r="G15" s="5" t="s">
        <v>276</v>
      </c>
      <c r="H15" s="5"/>
      <c r="I15" s="17"/>
      <c r="J15" s="34" t="e">
        <f>VLOOKUP(J12,ContactorsTable,5,FALSE)</f>
        <v>#N/A</v>
      </c>
      <c r="K15" s="5"/>
      <c r="L15" s="6" t="e">
        <f>IF(J15&lt;&gt;"NC",ErrorText,OKText)</f>
        <v>#N/A</v>
      </c>
    </row>
    <row r="16" spans="1:5">
      <c r="A16" s="5" t="s">
        <v>277</v>
      </c>
      <c r="B16" s="5"/>
      <c r="C16" s="17"/>
      <c r="D16" s="93" t="e">
        <f>D15/D14</f>
        <v>#N/A</v>
      </c>
      <c r="E16" s="5" t="s">
        <v>256</v>
      </c>
    </row>
    <row r="17" spans="1:8">
      <c r="A17" s="5" t="s">
        <v>278</v>
      </c>
      <c r="B17" s="5"/>
      <c r="C17" s="17"/>
      <c r="D17" s="20"/>
      <c r="E17" s="20"/>
      <c r="F17" s="6" t="str">
        <f>IF(ISBLANK(D17),IncompleteText,OKText)</f>
        <v>BLANK</v>
      </c>
      <c r="G17" s="94"/>
      <c r="H17" s="94"/>
    </row>
    <row r="18" ht="23.25" customHeight="1" spans="1:6">
      <c r="A18" s="33" t="s">
        <v>279</v>
      </c>
      <c r="B18" s="33"/>
      <c r="C18" s="35"/>
      <c r="D18" s="34" t="e">
        <f>VLOOKUP(D17,ContactorsTable,2,FALSE)</f>
        <v>#N/A</v>
      </c>
      <c r="E18" s="95" t="s">
        <v>179</v>
      </c>
      <c r="F18" s="6" t="e">
        <f>IF(D18&lt;MaxTSVoltage,ErrorText,OKText)</f>
        <v>#N/A</v>
      </c>
    </row>
    <row r="19" ht="18.75" customHeight="1" spans="1:6">
      <c r="A19" s="33" t="s">
        <v>273</v>
      </c>
      <c r="B19" s="33"/>
      <c r="C19" s="35"/>
      <c r="D19" s="34" t="e">
        <f>VLOOKUP(D17,ContactorsTable,3,FALSE)</f>
        <v>#N/A</v>
      </c>
      <c r="E19" s="95" t="s">
        <v>20</v>
      </c>
      <c r="F19" s="6" t="e">
        <f>IF(D19&lt;D13,ErrorText,OKText)</f>
        <v>#N/A</v>
      </c>
    </row>
    <row r="21" spans="1:7">
      <c r="A21" s="96" t="s">
        <v>152</v>
      </c>
      <c r="B21" s="96"/>
      <c r="C21" s="96"/>
      <c r="D21" s="96"/>
      <c r="E21" s="96"/>
      <c r="F21" s="96"/>
      <c r="G21" s="96"/>
    </row>
    <row r="22" spans="1:7">
      <c r="A22" s="97"/>
      <c r="B22" s="88"/>
      <c r="C22" s="88"/>
      <c r="D22" s="88"/>
      <c r="E22" s="88"/>
      <c r="F22" s="88"/>
      <c r="G22" s="98"/>
    </row>
    <row r="23" spans="1:7">
      <c r="A23" s="29"/>
      <c r="B23" s="30"/>
      <c r="C23" s="30"/>
      <c r="D23" s="30"/>
      <c r="E23" s="30"/>
      <c r="F23" s="30"/>
      <c r="G23" s="99"/>
    </row>
    <row r="24" spans="1:7">
      <c r="A24" s="29"/>
      <c r="B24" s="30"/>
      <c r="C24" s="30"/>
      <c r="D24" s="30"/>
      <c r="E24" s="30"/>
      <c r="F24" s="30"/>
      <c r="G24" s="99"/>
    </row>
    <row r="25" spans="1:7">
      <c r="A25" s="29"/>
      <c r="B25" s="30"/>
      <c r="C25" s="30"/>
      <c r="D25" s="30"/>
      <c r="E25" s="30"/>
      <c r="F25" s="30"/>
      <c r="G25" s="99"/>
    </row>
    <row r="26" spans="1:7">
      <c r="A26" s="29"/>
      <c r="B26" s="30"/>
      <c r="C26" s="30"/>
      <c r="D26" s="30"/>
      <c r="E26" s="30"/>
      <c r="F26" s="30"/>
      <c r="G26" s="99"/>
    </row>
    <row r="27" spans="1:7">
      <c r="A27" s="29"/>
      <c r="B27" s="30"/>
      <c r="C27" s="30"/>
      <c r="D27" s="30"/>
      <c r="E27" s="30"/>
      <c r="F27" s="30"/>
      <c r="G27" s="99"/>
    </row>
    <row r="28" spans="1:7">
      <c r="A28" s="29"/>
      <c r="B28" s="30"/>
      <c r="C28" s="30"/>
      <c r="D28" s="30"/>
      <c r="E28" s="30"/>
      <c r="F28" s="30"/>
      <c r="G28" s="99"/>
    </row>
    <row r="29" spans="1:7">
      <c r="A29" s="29"/>
      <c r="B29" s="30"/>
      <c r="C29" s="30"/>
      <c r="D29" s="30"/>
      <c r="E29" s="30"/>
      <c r="F29" s="30"/>
      <c r="G29" s="99"/>
    </row>
    <row r="30" spans="1:7">
      <c r="A30" s="29"/>
      <c r="B30" s="30"/>
      <c r="C30" s="30"/>
      <c r="D30" s="30"/>
      <c r="E30" s="30"/>
      <c r="F30" s="30"/>
      <c r="G30" s="99"/>
    </row>
    <row r="31" spans="1:7">
      <c r="A31" s="29"/>
      <c r="B31" s="30"/>
      <c r="C31" s="30"/>
      <c r="D31" s="30"/>
      <c r="E31" s="30"/>
      <c r="F31" s="30"/>
      <c r="G31" s="99"/>
    </row>
    <row r="32" spans="1:7">
      <c r="A32" s="29"/>
      <c r="B32" s="30"/>
      <c r="C32" s="30"/>
      <c r="D32" s="30"/>
      <c r="E32" s="30"/>
      <c r="F32" s="30"/>
      <c r="G32" s="99"/>
    </row>
    <row r="33" spans="1:7">
      <c r="A33" s="29"/>
      <c r="B33" s="30"/>
      <c r="C33" s="30"/>
      <c r="D33" s="30"/>
      <c r="E33" s="30"/>
      <c r="F33" s="30"/>
      <c r="G33" s="99"/>
    </row>
    <row r="34" spans="1:7">
      <c r="A34" s="29"/>
      <c r="B34" s="30"/>
      <c r="C34" s="30"/>
      <c r="D34" s="30"/>
      <c r="E34" s="30"/>
      <c r="F34" s="30"/>
      <c r="G34" s="99"/>
    </row>
    <row r="35" spans="1:7">
      <c r="A35" s="29"/>
      <c r="B35" s="30"/>
      <c r="C35" s="30"/>
      <c r="D35" s="30"/>
      <c r="E35" s="30"/>
      <c r="F35" s="30"/>
      <c r="G35" s="99"/>
    </row>
    <row r="36" spans="1:7">
      <c r="A36" s="29"/>
      <c r="B36" s="30"/>
      <c r="C36" s="30"/>
      <c r="D36" s="30"/>
      <c r="E36" s="30"/>
      <c r="F36" s="30"/>
      <c r="G36" s="99"/>
    </row>
    <row r="37" spans="1:7">
      <c r="A37" s="100"/>
      <c r="B37" s="101"/>
      <c r="C37" s="101"/>
      <c r="D37" s="101"/>
      <c r="E37" s="101"/>
      <c r="F37" s="101"/>
      <c r="G37" s="102"/>
    </row>
  </sheetData>
  <sheetProtection algorithmName="SHA-512" hashValue="P/34eJ3Hq85Wn0RnaCsbjLv3d3DufYacv7w+8aBPxiqnAYxNJDzJWNIkWUhvpwKq8Eev015dUDXffaQVng8Gsg==" saltValue="ujdZPtI9zQQXW9Cyc9ubkg==" spinCount="100000" sheet="1" selectLockedCells="1" scenarios="1"/>
  <mergeCells count="51">
    <mergeCell ref="A2:E2"/>
    <mergeCell ref="G2:K2"/>
    <mergeCell ref="M2:Q2"/>
    <mergeCell ref="S2:T2"/>
    <mergeCell ref="A3:C3"/>
    <mergeCell ref="D3:E3"/>
    <mergeCell ref="G3:I3"/>
    <mergeCell ref="J3:K3"/>
    <mergeCell ref="M3:O3"/>
    <mergeCell ref="P3:Q3"/>
    <mergeCell ref="A4:C4"/>
    <mergeCell ref="G4:I4"/>
    <mergeCell ref="M4:O4"/>
    <mergeCell ref="P4:Q4"/>
    <mergeCell ref="A5:C5"/>
    <mergeCell ref="G5:I5"/>
    <mergeCell ref="M5:O5"/>
    <mergeCell ref="P5:Q5"/>
    <mergeCell ref="A6:C6"/>
    <mergeCell ref="G6:I6"/>
    <mergeCell ref="M6:O6"/>
    <mergeCell ref="A7:C7"/>
    <mergeCell ref="G7:I7"/>
    <mergeCell ref="M7:O7"/>
    <mergeCell ref="A8:C8"/>
    <mergeCell ref="G8:I8"/>
    <mergeCell ref="M8:O8"/>
    <mergeCell ref="A9:C9"/>
    <mergeCell ref="G9:I9"/>
    <mergeCell ref="M9:O9"/>
    <mergeCell ref="A10:C10"/>
    <mergeCell ref="G10:I10"/>
    <mergeCell ref="A11:C11"/>
    <mergeCell ref="G11:I11"/>
    <mergeCell ref="A12:C12"/>
    <mergeCell ref="G12:I12"/>
    <mergeCell ref="J12:K12"/>
    <mergeCell ref="A13:C13"/>
    <mergeCell ref="G13:I13"/>
    <mergeCell ref="A14:C14"/>
    <mergeCell ref="G14:I14"/>
    <mergeCell ref="A15:C15"/>
    <mergeCell ref="G15:I15"/>
    <mergeCell ref="A16:C16"/>
    <mergeCell ref="A17:C17"/>
    <mergeCell ref="D17:E17"/>
    <mergeCell ref="A18:C18"/>
    <mergeCell ref="A19:C19"/>
    <mergeCell ref="A21:G21"/>
    <mergeCell ref="S3:T8"/>
    <mergeCell ref="A22:G37"/>
  </mergeCells>
  <dataValidations count="3">
    <dataValidation type="list" allowBlank="1" showInputMessage="1" showErrorMessage="1" sqref="D3:E3 J3:K3 P3:Q3">
      <formula1>ResistorsNames</formula1>
    </dataValidation>
    <dataValidation type="list" allowBlank="1" showInputMessage="1" showErrorMessage="1" sqref="J12:K12 D17:E17">
      <formula1>ContactorNames</formula1>
    </dataValidation>
    <dataValidation type="whole" operator="between" allowBlank="1" showInputMessage="1" showErrorMessage="1" sqref="D4:D5 J4:J5">
      <formula1>1</formula1>
      <formula2>1000</formula2>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3"/>
  <sheetViews>
    <sheetView tabSelected="1" workbookViewId="0">
      <selection activeCell="A12" sqref="A12:H30"/>
    </sheetView>
  </sheetViews>
  <sheetFormatPr defaultColWidth="9" defaultRowHeight="14"/>
  <cols>
    <col min="1" max="1" width="13" customWidth="1"/>
    <col min="3" max="3" width="11.5" customWidth="1"/>
    <col min="6" max="6" width="12.5" customWidth="1"/>
    <col min="15" max="15" width="21.875" customWidth="1"/>
    <col min="21" max="24" width="12.625" customWidth="1"/>
  </cols>
  <sheetData>
    <row r="1" spans="1:2">
      <c r="A1" s="2" t="s">
        <v>23</v>
      </c>
      <c r="B1" s="6" t="str" cm="1">
        <f ca="1" t="array" ref="B1">IF(SUM(COUNTIF(INDIRECT({"$F$2","$H$31","$Q$31","$Z$31"}),"="&amp;IncompleteText)),IncompleteText,IF(SUM(COUNTIF(INDIRECT({"$F$2","$H$31","$Q$31","$Z$31"}),"="&amp;ErrorText)),ErrorText,OKText))</f>
        <v>BLANK</v>
      </c>
    </row>
    <row r="2" spans="1:14">
      <c r="A2" s="68" t="s">
        <v>280</v>
      </c>
      <c r="B2" s="36"/>
      <c r="C2" s="36"/>
      <c r="D2" s="36"/>
      <c r="E2" s="36"/>
      <c r="F2" s="6" t="str">
        <f>IF(COUNTIF(F3:F10,"="&amp;IncompleteText),IncompleteText,IF(COUNTIF(F3:F10,"="&amp;ErrorText),ErrorText,OKText))</f>
        <v>BLANK</v>
      </c>
      <c r="H2" s="68" t="s">
        <v>281</v>
      </c>
      <c r="I2" s="36"/>
      <c r="J2" s="36"/>
      <c r="K2" s="36"/>
      <c r="L2" s="36"/>
      <c r="M2" s="36"/>
      <c r="N2" s="36"/>
    </row>
    <row r="3" spans="1:14">
      <c r="A3" s="5" t="s">
        <v>25</v>
      </c>
      <c r="B3" s="5"/>
      <c r="C3" s="17"/>
      <c r="D3" s="18"/>
      <c r="E3" s="19"/>
      <c r="F3" s="6" t="str">
        <f t="shared" ref="F3:F10" si="0">IF(ISBLANK(D3),IncompleteText,OKText)</f>
        <v>BLANK</v>
      </c>
      <c r="H3" s="88"/>
      <c r="I3" s="88"/>
      <c r="J3" s="88"/>
      <c r="K3" s="88"/>
      <c r="L3" s="88"/>
      <c r="M3" s="88"/>
      <c r="N3" s="88"/>
    </row>
    <row r="4" spans="1:14">
      <c r="A4" s="5" t="s">
        <v>167</v>
      </c>
      <c r="B4" s="5"/>
      <c r="C4" s="5"/>
      <c r="D4" s="20"/>
      <c r="E4" s="20"/>
      <c r="F4" s="6" t="str">
        <f t="shared" si="0"/>
        <v>BLANK</v>
      </c>
      <c r="H4" s="30"/>
      <c r="I4" s="30"/>
      <c r="J4" s="30"/>
      <c r="K4" s="30"/>
      <c r="L4" s="30"/>
      <c r="M4" s="30"/>
      <c r="N4" s="30"/>
    </row>
    <row r="5" spans="1:14">
      <c r="A5" s="5" t="s">
        <v>282</v>
      </c>
      <c r="B5" s="5"/>
      <c r="C5" s="17"/>
      <c r="D5" s="89"/>
      <c r="E5" s="89"/>
      <c r="F5" s="6" t="str">
        <f t="shared" si="0"/>
        <v>BLANK</v>
      </c>
      <c r="H5" s="30"/>
      <c r="I5" s="30"/>
      <c r="J5" s="30"/>
      <c r="K5" s="30"/>
      <c r="L5" s="30"/>
      <c r="M5" s="30"/>
      <c r="N5" s="30"/>
    </row>
    <row r="6" spans="1:14">
      <c r="A6" s="5" t="s">
        <v>283</v>
      </c>
      <c r="B6" s="5"/>
      <c r="C6" s="17"/>
      <c r="D6" s="46"/>
      <c r="E6" s="5" t="s">
        <v>284</v>
      </c>
      <c r="F6" s="6" t="str">
        <f t="shared" si="0"/>
        <v>BLANK</v>
      </c>
      <c r="H6" s="30"/>
      <c r="I6" s="30"/>
      <c r="J6" s="30"/>
      <c r="K6" s="30"/>
      <c r="L6" s="30"/>
      <c r="M6" s="30"/>
      <c r="N6" s="30"/>
    </row>
    <row r="7" spans="1:14">
      <c r="A7" s="5" t="s">
        <v>285</v>
      </c>
      <c r="B7" s="5"/>
      <c r="C7" s="17"/>
      <c r="D7" s="46"/>
      <c r="E7" s="5" t="s">
        <v>20</v>
      </c>
      <c r="F7" s="6" t="str">
        <f t="shared" si="0"/>
        <v>BLANK</v>
      </c>
      <c r="H7" s="30"/>
      <c r="I7" s="30"/>
      <c r="J7" s="30"/>
      <c r="K7" s="30"/>
      <c r="L7" s="30"/>
      <c r="M7" s="30"/>
      <c r="N7" s="30"/>
    </row>
    <row r="8" spans="1:14">
      <c r="A8" s="5" t="s">
        <v>286</v>
      </c>
      <c r="B8" s="5"/>
      <c r="C8" s="17"/>
      <c r="D8" s="46"/>
      <c r="E8" s="5" t="s">
        <v>18</v>
      </c>
      <c r="F8" s="6" t="str">
        <f t="shared" si="0"/>
        <v>BLANK</v>
      </c>
      <c r="H8" s="30"/>
      <c r="I8" s="30"/>
      <c r="J8" s="30"/>
      <c r="K8" s="30"/>
      <c r="L8" s="30"/>
      <c r="M8" s="30"/>
      <c r="N8" s="30"/>
    </row>
    <row r="9" spans="1:14">
      <c r="A9" s="5" t="s">
        <v>287</v>
      </c>
      <c r="B9" s="5"/>
      <c r="C9" s="17"/>
      <c r="D9" s="46"/>
      <c r="E9" s="5" t="s">
        <v>20</v>
      </c>
      <c r="F9" s="6" t="str">
        <f t="shared" si="0"/>
        <v>BLANK</v>
      </c>
      <c r="H9" s="30"/>
      <c r="I9" s="30"/>
      <c r="J9" s="30"/>
      <c r="K9" s="30"/>
      <c r="L9" s="30"/>
      <c r="M9" s="30"/>
      <c r="N9" s="30"/>
    </row>
    <row r="10" spans="1:14">
      <c r="A10" s="5" t="s">
        <v>288</v>
      </c>
      <c r="B10" s="5"/>
      <c r="C10" s="17"/>
      <c r="D10" s="46"/>
      <c r="E10" s="5" t="s">
        <v>289</v>
      </c>
      <c r="F10" s="6" t="str">
        <f t="shared" si="0"/>
        <v>BLANK</v>
      </c>
      <c r="H10" s="30"/>
      <c r="I10" s="30"/>
      <c r="J10" s="30"/>
      <c r="K10" s="30"/>
      <c r="L10" s="30"/>
      <c r="M10" s="30"/>
      <c r="N10" s="30"/>
    </row>
    <row r="12" spans="1:26">
      <c r="A12" s="12"/>
      <c r="B12" s="12"/>
      <c r="C12" s="12"/>
      <c r="D12" s="12"/>
      <c r="E12" s="12"/>
      <c r="F12" s="12"/>
      <c r="G12" s="12"/>
      <c r="H12" s="12"/>
      <c r="J12" s="91" t="s">
        <v>290</v>
      </c>
      <c r="K12" s="91"/>
      <c r="L12" s="91"/>
      <c r="M12" s="91"/>
      <c r="N12" s="91"/>
      <c r="O12" s="91"/>
      <c r="P12" s="91"/>
      <c r="Q12" s="91"/>
      <c r="S12" s="91" t="s">
        <v>291</v>
      </c>
      <c r="T12" s="91"/>
      <c r="U12" s="91"/>
      <c r="V12" s="91"/>
      <c r="W12" s="91"/>
      <c r="X12" s="91"/>
      <c r="Y12" s="91"/>
      <c r="Z12" s="91"/>
    </row>
    <row r="13" spans="1:26">
      <c r="A13" s="12"/>
      <c r="B13" s="12"/>
      <c r="C13" s="12"/>
      <c r="D13" s="12"/>
      <c r="E13" s="12"/>
      <c r="F13" s="12"/>
      <c r="G13" s="12"/>
      <c r="H13" s="12"/>
      <c r="J13" s="91"/>
      <c r="K13" s="91"/>
      <c r="L13" s="91"/>
      <c r="M13" s="91"/>
      <c r="N13" s="91"/>
      <c r="O13" s="91"/>
      <c r="P13" s="91"/>
      <c r="Q13" s="91"/>
      <c r="S13" s="91"/>
      <c r="T13" s="91"/>
      <c r="U13" s="91"/>
      <c r="V13" s="91"/>
      <c r="W13" s="91"/>
      <c r="X13" s="91"/>
      <c r="Y13" s="91"/>
      <c r="Z13" s="91"/>
    </row>
    <row r="14" spans="1:26">
      <c r="A14" s="12"/>
      <c r="B14" s="12"/>
      <c r="C14" s="12"/>
      <c r="D14" s="12"/>
      <c r="E14" s="12"/>
      <c r="F14" s="12"/>
      <c r="G14" s="12"/>
      <c r="H14" s="12"/>
      <c r="J14" s="91"/>
      <c r="K14" s="91"/>
      <c r="L14" s="91"/>
      <c r="M14" s="91"/>
      <c r="N14" s="91"/>
      <c r="O14" s="91"/>
      <c r="P14" s="91"/>
      <c r="Q14" s="91"/>
      <c r="S14" s="91"/>
      <c r="T14" s="91"/>
      <c r="U14" s="91"/>
      <c r="V14" s="91"/>
      <c r="W14" s="91"/>
      <c r="X14" s="91"/>
      <c r="Y14" s="91"/>
      <c r="Z14" s="91"/>
    </row>
    <row r="15" spans="1:26">
      <c r="A15" s="12"/>
      <c r="B15" s="12"/>
      <c r="C15" s="12"/>
      <c r="D15" s="12"/>
      <c r="E15" s="12"/>
      <c r="F15" s="12"/>
      <c r="G15" s="12"/>
      <c r="H15" s="12"/>
      <c r="J15" s="91"/>
      <c r="K15" s="91"/>
      <c r="L15" s="91"/>
      <c r="M15" s="91"/>
      <c r="N15" s="91"/>
      <c r="O15" s="91"/>
      <c r="P15" s="91"/>
      <c r="Q15" s="91"/>
      <c r="S15" s="91"/>
      <c r="T15" s="91"/>
      <c r="U15" s="91"/>
      <c r="V15" s="91"/>
      <c r="W15" s="91"/>
      <c r="X15" s="91"/>
      <c r="Y15" s="91"/>
      <c r="Z15" s="91"/>
    </row>
    <row r="16" spans="1:26">
      <c r="A16" s="12"/>
      <c r="B16" s="12"/>
      <c r="C16" s="12"/>
      <c r="D16" s="12"/>
      <c r="E16" s="12"/>
      <c r="F16" s="12"/>
      <c r="G16" s="12"/>
      <c r="H16" s="12"/>
      <c r="J16" s="91"/>
      <c r="K16" s="91"/>
      <c r="L16" s="91"/>
      <c r="M16" s="91"/>
      <c r="N16" s="91"/>
      <c r="O16" s="91"/>
      <c r="P16" s="91"/>
      <c r="Q16" s="91"/>
      <c r="S16" s="91"/>
      <c r="T16" s="91"/>
      <c r="U16" s="91"/>
      <c r="V16" s="91"/>
      <c r="W16" s="91"/>
      <c r="X16" s="91"/>
      <c r="Y16" s="91"/>
      <c r="Z16" s="91"/>
    </row>
    <row r="17" spans="1:26">
      <c r="A17" s="12"/>
      <c r="B17" s="12"/>
      <c r="C17" s="12"/>
      <c r="D17" s="12"/>
      <c r="E17" s="12"/>
      <c r="F17" s="12"/>
      <c r="G17" s="12"/>
      <c r="H17" s="12"/>
      <c r="J17" s="91"/>
      <c r="K17" s="91"/>
      <c r="L17" s="91"/>
      <c r="M17" s="91"/>
      <c r="N17" s="91"/>
      <c r="O17" s="91"/>
      <c r="P17" s="91"/>
      <c r="Q17" s="91"/>
      <c r="S17" s="91"/>
      <c r="T17" s="91"/>
      <c r="U17" s="91"/>
      <c r="V17" s="91"/>
      <c r="W17" s="91"/>
      <c r="X17" s="91"/>
      <c r="Y17" s="91"/>
      <c r="Z17" s="91"/>
    </row>
    <row r="18" spans="1:26">
      <c r="A18" s="12"/>
      <c r="B18" s="12"/>
      <c r="C18" s="12"/>
      <c r="D18" s="12"/>
      <c r="E18" s="12"/>
      <c r="F18" s="12"/>
      <c r="G18" s="12"/>
      <c r="H18" s="12"/>
      <c r="J18" s="91"/>
      <c r="K18" s="91"/>
      <c r="L18" s="91"/>
      <c r="M18" s="91"/>
      <c r="N18" s="91"/>
      <c r="O18" s="91"/>
      <c r="P18" s="91"/>
      <c r="Q18" s="91"/>
      <c r="S18" s="91"/>
      <c r="T18" s="91"/>
      <c r="U18" s="91"/>
      <c r="V18" s="91"/>
      <c r="W18" s="91"/>
      <c r="X18" s="91"/>
      <c r="Y18" s="91"/>
      <c r="Z18" s="91"/>
    </row>
    <row r="19" spans="1:26">
      <c r="A19" s="12"/>
      <c r="B19" s="12"/>
      <c r="C19" s="12"/>
      <c r="D19" s="12"/>
      <c r="E19" s="12"/>
      <c r="F19" s="12"/>
      <c r="G19" s="12"/>
      <c r="H19" s="12"/>
      <c r="J19" s="91"/>
      <c r="K19" s="91"/>
      <c r="L19" s="91"/>
      <c r="M19" s="91"/>
      <c r="N19" s="91"/>
      <c r="O19" s="91"/>
      <c r="P19" s="91"/>
      <c r="Q19" s="91"/>
      <c r="S19" s="91"/>
      <c r="T19" s="91"/>
      <c r="U19" s="91"/>
      <c r="V19" s="91"/>
      <c r="W19" s="91"/>
      <c r="X19" s="91"/>
      <c r="Y19" s="91"/>
      <c r="Z19" s="91"/>
    </row>
    <row r="20" spans="1:26">
      <c r="A20" s="12"/>
      <c r="B20" s="12"/>
      <c r="C20" s="12"/>
      <c r="D20" s="12"/>
      <c r="E20" s="12"/>
      <c r="F20" s="12"/>
      <c r="G20" s="12"/>
      <c r="H20" s="12"/>
      <c r="J20" s="91"/>
      <c r="K20" s="91"/>
      <c r="L20" s="91"/>
      <c r="M20" s="91"/>
      <c r="N20" s="91"/>
      <c r="O20" s="91"/>
      <c r="P20" s="91"/>
      <c r="Q20" s="91"/>
      <c r="S20" s="91"/>
      <c r="T20" s="91"/>
      <c r="U20" s="91"/>
      <c r="V20" s="91"/>
      <c r="W20" s="91"/>
      <c r="X20" s="91"/>
      <c r="Y20" s="91"/>
      <c r="Z20" s="91"/>
    </row>
    <row r="21" spans="1:26">
      <c r="A21" s="12"/>
      <c r="B21" s="12"/>
      <c r="C21" s="12"/>
      <c r="D21" s="12"/>
      <c r="E21" s="12"/>
      <c r="F21" s="12"/>
      <c r="G21" s="12"/>
      <c r="H21" s="12"/>
      <c r="J21" s="91"/>
      <c r="K21" s="91"/>
      <c r="L21" s="91"/>
      <c r="M21" s="91"/>
      <c r="N21" s="91"/>
      <c r="O21" s="91"/>
      <c r="P21" s="91"/>
      <c r="Q21" s="91"/>
      <c r="S21" s="91"/>
      <c r="T21" s="91"/>
      <c r="U21" s="91"/>
      <c r="V21" s="91"/>
      <c r="W21" s="91"/>
      <c r="X21" s="91"/>
      <c r="Y21" s="91"/>
      <c r="Z21" s="91"/>
    </row>
    <row r="22" spans="1:26">
      <c r="A22" s="12"/>
      <c r="B22" s="12"/>
      <c r="C22" s="12"/>
      <c r="D22" s="12"/>
      <c r="E22" s="12"/>
      <c r="F22" s="12"/>
      <c r="G22" s="12"/>
      <c r="H22" s="12"/>
      <c r="J22" s="91"/>
      <c r="K22" s="91"/>
      <c r="L22" s="91"/>
      <c r="M22" s="91"/>
      <c r="N22" s="91"/>
      <c r="O22" s="91"/>
      <c r="P22" s="91"/>
      <c r="Q22" s="91"/>
      <c r="S22" s="91"/>
      <c r="T22" s="91"/>
      <c r="U22" s="91"/>
      <c r="V22" s="91"/>
      <c r="W22" s="91"/>
      <c r="X22" s="91"/>
      <c r="Y22" s="91"/>
      <c r="Z22" s="91"/>
    </row>
    <row r="23" spans="1:26">
      <c r="A23" s="12"/>
      <c r="B23" s="12"/>
      <c r="C23" s="12"/>
      <c r="D23" s="12"/>
      <c r="E23" s="12"/>
      <c r="F23" s="12"/>
      <c r="G23" s="12"/>
      <c r="H23" s="12"/>
      <c r="J23" s="91"/>
      <c r="K23" s="91"/>
      <c r="L23" s="91"/>
      <c r="M23" s="91"/>
      <c r="N23" s="91"/>
      <c r="O23" s="91"/>
      <c r="P23" s="91"/>
      <c r="Q23" s="91"/>
      <c r="S23" s="91"/>
      <c r="T23" s="91"/>
      <c r="U23" s="91"/>
      <c r="V23" s="91"/>
      <c r="W23" s="91"/>
      <c r="X23" s="91"/>
      <c r="Y23" s="91"/>
      <c r="Z23" s="91"/>
    </row>
    <row r="24" spans="1:26">
      <c r="A24" s="12"/>
      <c r="B24" s="12"/>
      <c r="C24" s="12"/>
      <c r="D24" s="12"/>
      <c r="E24" s="12"/>
      <c r="F24" s="12"/>
      <c r="G24" s="12"/>
      <c r="H24" s="12"/>
      <c r="J24" s="91"/>
      <c r="K24" s="91"/>
      <c r="L24" s="91"/>
      <c r="M24" s="91"/>
      <c r="N24" s="91"/>
      <c r="O24" s="91"/>
      <c r="P24" s="91"/>
      <c r="Q24" s="91"/>
      <c r="S24" s="91"/>
      <c r="T24" s="91"/>
      <c r="U24" s="91"/>
      <c r="V24" s="91"/>
      <c r="W24" s="91"/>
      <c r="X24" s="91"/>
      <c r="Y24" s="91"/>
      <c r="Z24" s="91"/>
    </row>
    <row r="25" spans="1:26">
      <c r="A25" s="12"/>
      <c r="B25" s="12"/>
      <c r="C25" s="12"/>
      <c r="D25" s="12"/>
      <c r="E25" s="12"/>
      <c r="F25" s="12"/>
      <c r="G25" s="12"/>
      <c r="H25" s="12"/>
      <c r="J25" s="91"/>
      <c r="K25" s="91"/>
      <c r="L25" s="91"/>
      <c r="M25" s="91"/>
      <c r="N25" s="91"/>
      <c r="O25" s="91"/>
      <c r="P25" s="91"/>
      <c r="Q25" s="91"/>
      <c r="S25" s="91"/>
      <c r="T25" s="91"/>
      <c r="U25" s="91"/>
      <c r="V25" s="91"/>
      <c r="W25" s="91"/>
      <c r="X25" s="91"/>
      <c r="Y25" s="91"/>
      <c r="Z25" s="91"/>
    </row>
    <row r="26" spans="1:26">
      <c r="A26" s="12"/>
      <c r="B26" s="12"/>
      <c r="C26" s="12"/>
      <c r="D26" s="12"/>
      <c r="E26" s="12"/>
      <c r="F26" s="12"/>
      <c r="G26" s="12"/>
      <c r="H26" s="12"/>
      <c r="J26" s="91"/>
      <c r="K26" s="91"/>
      <c r="L26" s="91"/>
      <c r="M26" s="91"/>
      <c r="N26" s="91"/>
      <c r="O26" s="91"/>
      <c r="P26" s="91"/>
      <c r="Q26" s="91"/>
      <c r="S26" s="91"/>
      <c r="T26" s="91"/>
      <c r="U26" s="91"/>
      <c r="V26" s="91"/>
      <c r="W26" s="91"/>
      <c r="X26" s="91"/>
      <c r="Y26" s="91"/>
      <c r="Z26" s="91"/>
    </row>
    <row r="27" spans="1:26">
      <c r="A27" s="12"/>
      <c r="B27" s="12"/>
      <c r="C27" s="12"/>
      <c r="D27" s="12"/>
      <c r="E27" s="12"/>
      <c r="F27" s="12"/>
      <c r="G27" s="12"/>
      <c r="H27" s="12"/>
      <c r="J27" s="91"/>
      <c r="K27" s="91"/>
      <c r="L27" s="91"/>
      <c r="M27" s="91"/>
      <c r="N27" s="91"/>
      <c r="O27" s="91"/>
      <c r="P27" s="91"/>
      <c r="Q27" s="91"/>
      <c r="S27" s="91"/>
      <c r="T27" s="91"/>
      <c r="U27" s="91"/>
      <c r="V27" s="91"/>
      <c r="W27" s="91"/>
      <c r="X27" s="91"/>
      <c r="Y27" s="91"/>
      <c r="Z27" s="91"/>
    </row>
    <row r="28" spans="1:26">
      <c r="A28" s="12"/>
      <c r="B28" s="12"/>
      <c r="C28" s="12"/>
      <c r="D28" s="12"/>
      <c r="E28" s="12"/>
      <c r="F28" s="12"/>
      <c r="G28" s="12"/>
      <c r="H28" s="12"/>
      <c r="J28" s="91"/>
      <c r="K28" s="91"/>
      <c r="L28" s="91"/>
      <c r="M28" s="91"/>
      <c r="N28" s="91"/>
      <c r="O28" s="91"/>
      <c r="P28" s="91"/>
      <c r="Q28" s="91"/>
      <c r="S28" s="91"/>
      <c r="T28" s="91"/>
      <c r="U28" s="91"/>
      <c r="V28" s="91"/>
      <c r="W28" s="91"/>
      <c r="X28" s="91"/>
      <c r="Y28" s="91"/>
      <c r="Z28" s="91"/>
    </row>
    <row r="29" spans="1:26">
      <c r="A29" s="12"/>
      <c r="B29" s="12"/>
      <c r="C29" s="12"/>
      <c r="D29" s="12"/>
      <c r="E29" s="12"/>
      <c r="F29" s="12"/>
      <c r="G29" s="12"/>
      <c r="H29" s="12"/>
      <c r="J29" s="91"/>
      <c r="K29" s="91"/>
      <c r="L29" s="91"/>
      <c r="M29" s="91"/>
      <c r="N29" s="91"/>
      <c r="O29" s="91"/>
      <c r="P29" s="91"/>
      <c r="Q29" s="91"/>
      <c r="S29" s="91"/>
      <c r="T29" s="91"/>
      <c r="U29" s="91"/>
      <c r="V29" s="91"/>
      <c r="W29" s="91"/>
      <c r="X29" s="91"/>
      <c r="Y29" s="91"/>
      <c r="Z29" s="91"/>
    </row>
    <row r="30" spans="1:26">
      <c r="A30" s="12"/>
      <c r="B30" s="12"/>
      <c r="C30" s="12"/>
      <c r="D30" s="12"/>
      <c r="E30" s="12"/>
      <c r="F30" s="12"/>
      <c r="G30" s="12"/>
      <c r="H30" s="12"/>
      <c r="J30" s="91"/>
      <c r="K30" s="91"/>
      <c r="L30" s="91"/>
      <c r="M30" s="91"/>
      <c r="N30" s="91"/>
      <c r="O30" s="91"/>
      <c r="P30" s="91"/>
      <c r="Q30" s="91"/>
      <c r="S30" s="91"/>
      <c r="T30" s="91"/>
      <c r="U30" s="91"/>
      <c r="V30" s="91"/>
      <c r="W30" s="91"/>
      <c r="X30" s="91"/>
      <c r="Y30" s="91"/>
      <c r="Z30" s="91"/>
    </row>
    <row r="31" spans="1:26">
      <c r="A31" s="7" t="s">
        <v>292</v>
      </c>
      <c r="B31" s="7"/>
      <c r="C31" s="7"/>
      <c r="D31" s="7"/>
      <c r="E31" s="7"/>
      <c r="F31" s="7"/>
      <c r="G31" s="7"/>
      <c r="H31" s="57" t="str">
        <f>IF(COUNTIF(H33:H38,"="&amp;IncompleteText),IncompleteText,IF(COUNTIF(H33:H38,"="&amp;ErrorText),ErrorText,OKText))</f>
        <v>BLANK</v>
      </c>
      <c r="J31" s="7" t="s">
        <v>290</v>
      </c>
      <c r="K31" s="7"/>
      <c r="L31" s="7"/>
      <c r="M31" s="7"/>
      <c r="N31" s="7"/>
      <c r="O31" s="7"/>
      <c r="P31" s="7"/>
      <c r="Q31" s="57" t="str">
        <f>IF(COUNTIF(Q33:Q38,"="&amp;IncompleteText),IncompleteText,IF(COUNTIF(Q33:Q38,"="&amp;ErrorText),ErrorText,OKText))</f>
        <v>BLANK</v>
      </c>
      <c r="S31" s="7" t="s">
        <v>291</v>
      </c>
      <c r="T31" s="7"/>
      <c r="U31" s="7"/>
      <c r="V31" s="7"/>
      <c r="W31" s="7"/>
      <c r="X31" s="7"/>
      <c r="Y31" s="7"/>
      <c r="Z31" s="57" t="str">
        <f>IF(COUNTIF(Z33:Z34,"="&amp;IncompleteText),IncompleteText,IF(COUNTIF(Z33:Z34,"="&amp;ErrorText),ErrorText,OKText))</f>
        <v>BLANK</v>
      </c>
    </row>
    <row r="32" spans="1:26">
      <c r="A32" s="38" t="s">
        <v>224</v>
      </c>
      <c r="B32" s="54"/>
      <c r="C32" s="36"/>
      <c r="D32" s="36"/>
      <c r="E32" s="36"/>
      <c r="F32" s="36"/>
      <c r="G32" s="36"/>
      <c r="H32" s="8"/>
      <c r="J32" s="38" t="s">
        <v>224</v>
      </c>
      <c r="K32" s="54"/>
      <c r="L32" s="36"/>
      <c r="M32" s="36"/>
      <c r="N32" s="36"/>
      <c r="O32" s="36"/>
      <c r="P32" s="36"/>
      <c r="Q32" s="8"/>
      <c r="S32" s="38" t="s">
        <v>224</v>
      </c>
      <c r="T32" s="54"/>
      <c r="U32" s="36"/>
      <c r="V32" s="36"/>
      <c r="W32" s="36"/>
      <c r="X32" s="36"/>
      <c r="Y32" s="36"/>
      <c r="Z32" s="8"/>
    </row>
    <row r="33" spans="1:26">
      <c r="A33" s="15"/>
      <c r="B33" s="15"/>
      <c r="C33" s="5" t="s">
        <v>293</v>
      </c>
      <c r="D33" s="5"/>
      <c r="E33" s="5"/>
      <c r="F33" s="17"/>
      <c r="G33" s="28"/>
      <c r="H33" s="6" t="str">
        <f t="shared" ref="H33:H38" si="1">IF(ISBLANK(G33),IncompleteText,IF(G33,OKText,ErrorText))</f>
        <v>BLANK</v>
      </c>
      <c r="J33" s="15"/>
      <c r="K33" s="15"/>
      <c r="L33" s="5" t="s">
        <v>294</v>
      </c>
      <c r="M33" s="5"/>
      <c r="N33" s="5"/>
      <c r="O33" s="17"/>
      <c r="P33" s="28"/>
      <c r="Q33" s="6" t="str">
        <f t="shared" ref="Q33:Q38" si="2">IF(ISBLANK(P33),IncompleteText,IF(P33,OKText,ErrorText))</f>
        <v>BLANK</v>
      </c>
      <c r="S33" s="15" t="s">
        <v>295</v>
      </c>
      <c r="T33" s="15"/>
      <c r="U33" s="5" t="s">
        <v>296</v>
      </c>
      <c r="V33" s="5"/>
      <c r="W33" s="5"/>
      <c r="X33" s="17"/>
      <c r="Y33" s="28"/>
      <c r="Z33" s="6" t="str">
        <f t="shared" ref="Z33" si="3">IF(ISBLANK(Y33),IncompleteText,IF(Y33,OKText,ErrorText))</f>
        <v>BLANK</v>
      </c>
    </row>
    <row r="34" spans="1:26">
      <c r="A34" s="15"/>
      <c r="B34" s="15"/>
      <c r="C34" s="5" t="s">
        <v>297</v>
      </c>
      <c r="D34" s="5"/>
      <c r="E34" s="5"/>
      <c r="F34" s="17"/>
      <c r="G34" s="28"/>
      <c r="H34" s="6" t="str">
        <f t="shared" si="1"/>
        <v>BLANK</v>
      </c>
      <c r="J34" s="15"/>
      <c r="K34" s="15"/>
      <c r="L34" s="5" t="s">
        <v>298</v>
      </c>
      <c r="M34" s="5"/>
      <c r="N34" s="5"/>
      <c r="O34" s="17"/>
      <c r="P34" s="28"/>
      <c r="Q34" s="6" t="str">
        <f t="shared" si="2"/>
        <v>BLANK</v>
      </c>
      <c r="S34" s="15" t="s">
        <v>299</v>
      </c>
      <c r="T34" s="15"/>
      <c r="U34" s="5" t="s">
        <v>300</v>
      </c>
      <c r="V34" s="5"/>
      <c r="W34" s="5"/>
      <c r="X34" s="17"/>
      <c r="Y34" s="28"/>
      <c r="Z34" s="6" t="str">
        <f t="shared" ref="Z34" si="4">IF(ISBLANK(Y34),IncompleteText,IF(Y34,OKText,ErrorText))</f>
        <v>BLANK</v>
      </c>
    </row>
    <row r="35" spans="1:25">
      <c r="A35" s="15"/>
      <c r="B35" s="15"/>
      <c r="C35" s="5" t="s">
        <v>301</v>
      </c>
      <c r="D35" s="5"/>
      <c r="E35" s="5"/>
      <c r="F35" s="17"/>
      <c r="G35" s="28"/>
      <c r="H35" s="6" t="str">
        <f t="shared" si="1"/>
        <v>BLANK</v>
      </c>
      <c r="J35" s="15"/>
      <c r="K35" s="15"/>
      <c r="L35" s="5" t="s">
        <v>302</v>
      </c>
      <c r="M35" s="5"/>
      <c r="N35" s="5"/>
      <c r="O35" s="17"/>
      <c r="P35" s="28"/>
      <c r="Q35" s="6" t="str">
        <f t="shared" si="2"/>
        <v>BLANK</v>
      </c>
      <c r="S35" s="7" t="s">
        <v>152</v>
      </c>
      <c r="T35" s="7"/>
      <c r="U35" s="7"/>
      <c r="V35" s="7"/>
      <c r="W35" s="7"/>
      <c r="X35" s="7"/>
      <c r="Y35" s="7"/>
    </row>
    <row r="36" spans="1:25">
      <c r="A36" s="15"/>
      <c r="B36" s="15"/>
      <c r="C36" s="5" t="s">
        <v>144</v>
      </c>
      <c r="D36" s="5"/>
      <c r="E36" s="5"/>
      <c r="F36" s="17"/>
      <c r="G36" s="28"/>
      <c r="H36" s="6" t="str">
        <f t="shared" si="1"/>
        <v>BLANK</v>
      </c>
      <c r="J36" s="15"/>
      <c r="K36" s="15"/>
      <c r="L36" s="5" t="s">
        <v>303</v>
      </c>
      <c r="M36" s="5"/>
      <c r="N36" s="5"/>
      <c r="O36" s="17"/>
      <c r="P36" s="28"/>
      <c r="Q36" s="6" t="str">
        <f t="shared" si="2"/>
        <v>BLANK</v>
      </c>
      <c r="S36" s="90"/>
      <c r="T36" s="90"/>
      <c r="U36" s="90"/>
      <c r="V36" s="90"/>
      <c r="W36" s="90"/>
      <c r="X36" s="90"/>
      <c r="Y36" s="90"/>
    </row>
    <row r="37" spans="1:25">
      <c r="A37" s="15"/>
      <c r="B37" s="15"/>
      <c r="C37" s="5" t="s">
        <v>118</v>
      </c>
      <c r="D37" s="5"/>
      <c r="E37" s="5"/>
      <c r="F37" s="17"/>
      <c r="G37" s="28"/>
      <c r="H37" s="6" t="str">
        <f t="shared" si="1"/>
        <v>BLANK</v>
      </c>
      <c r="J37" s="15"/>
      <c r="K37" s="15"/>
      <c r="L37" s="5" t="s">
        <v>304</v>
      </c>
      <c r="M37" s="5"/>
      <c r="N37" s="5"/>
      <c r="O37" s="17"/>
      <c r="P37" s="28"/>
      <c r="Q37" s="6" t="str">
        <f t="shared" si="2"/>
        <v>BLANK</v>
      </c>
      <c r="S37" s="90"/>
      <c r="T37" s="90"/>
      <c r="U37" s="90"/>
      <c r="V37" s="90"/>
      <c r="W37" s="90"/>
      <c r="X37" s="90"/>
      <c r="Y37" s="90"/>
    </row>
    <row r="38" ht="41.25" customHeight="1" spans="1:25">
      <c r="A38" s="15"/>
      <c r="B38" s="15"/>
      <c r="C38" s="5" t="s">
        <v>120</v>
      </c>
      <c r="D38" s="5"/>
      <c r="E38" s="5"/>
      <c r="F38" s="17"/>
      <c r="G38" s="28"/>
      <c r="H38" s="6" t="str">
        <f t="shared" si="1"/>
        <v>BLANK</v>
      </c>
      <c r="J38" s="15"/>
      <c r="K38" s="15"/>
      <c r="L38" s="33" t="s">
        <v>305</v>
      </c>
      <c r="M38" s="33"/>
      <c r="N38" s="33"/>
      <c r="O38" s="35"/>
      <c r="P38" s="28"/>
      <c r="Q38" s="6" t="str">
        <f t="shared" si="2"/>
        <v>BLANK</v>
      </c>
      <c r="S38" s="90"/>
      <c r="T38" s="90"/>
      <c r="U38" s="90"/>
      <c r="V38" s="90"/>
      <c r="W38" s="90"/>
      <c r="X38" s="90"/>
      <c r="Y38" s="90"/>
    </row>
    <row r="39" spans="1:25">
      <c r="A39" s="7" t="s">
        <v>152</v>
      </c>
      <c r="B39" s="7"/>
      <c r="C39" s="7"/>
      <c r="D39" s="7"/>
      <c r="E39" s="7"/>
      <c r="F39" s="7"/>
      <c r="G39" s="7"/>
      <c r="J39" s="7" t="s">
        <v>152</v>
      </c>
      <c r="K39" s="7"/>
      <c r="L39" s="7"/>
      <c r="M39" s="7"/>
      <c r="N39" s="7"/>
      <c r="O39" s="7"/>
      <c r="P39" s="7"/>
      <c r="S39" s="90"/>
      <c r="T39" s="90"/>
      <c r="U39" s="90"/>
      <c r="V39" s="90"/>
      <c r="W39" s="90"/>
      <c r="X39" s="90"/>
      <c r="Y39" s="90"/>
    </row>
    <row r="40" spans="1:16">
      <c r="A40" s="90"/>
      <c r="B40" s="90"/>
      <c r="C40" s="90"/>
      <c r="D40" s="90"/>
      <c r="E40" s="90"/>
      <c r="F40" s="90"/>
      <c r="G40" s="90"/>
      <c r="J40" s="90"/>
      <c r="K40" s="90"/>
      <c r="L40" s="90"/>
      <c r="M40" s="90"/>
      <c r="N40" s="90"/>
      <c r="O40" s="90"/>
      <c r="P40" s="90"/>
    </row>
    <row r="41" spans="1:16">
      <c r="A41" s="90"/>
      <c r="B41" s="90"/>
      <c r="C41" s="90"/>
      <c r="D41" s="90"/>
      <c r="E41" s="90"/>
      <c r="F41" s="90"/>
      <c r="G41" s="90"/>
      <c r="J41" s="90"/>
      <c r="K41" s="90"/>
      <c r="L41" s="90"/>
      <c r="M41" s="90"/>
      <c r="N41" s="90"/>
      <c r="O41" s="90"/>
      <c r="P41" s="90"/>
    </row>
    <row r="42" spans="1:16">
      <c r="A42" s="90"/>
      <c r="B42" s="90"/>
      <c r="C42" s="90"/>
      <c r="D42" s="90"/>
      <c r="E42" s="90"/>
      <c r="F42" s="90"/>
      <c r="G42" s="90"/>
      <c r="J42" s="90"/>
      <c r="K42" s="90"/>
      <c r="L42" s="90"/>
      <c r="M42" s="90"/>
      <c r="N42" s="90"/>
      <c r="O42" s="90"/>
      <c r="P42" s="90"/>
    </row>
    <row r="43" spans="1:16">
      <c r="A43" s="90"/>
      <c r="B43" s="90"/>
      <c r="C43" s="90"/>
      <c r="D43" s="90"/>
      <c r="E43" s="90"/>
      <c r="F43" s="90"/>
      <c r="G43" s="90"/>
      <c r="J43" s="90"/>
      <c r="K43" s="90"/>
      <c r="L43" s="90"/>
      <c r="M43" s="90"/>
      <c r="N43" s="90"/>
      <c r="O43" s="90"/>
      <c r="P43" s="90"/>
    </row>
  </sheetData>
  <sheetProtection algorithmName="SHA-512" hashValue="GZWzs6P/2yGV27xy7U8fNW7eKH9IB07M9y8HufHbns+GZaqoLDksnIzhcBadGcXY1231tC7zsh/NAUWnwiM1Bw==" saltValue="j1KGCFBZ3hBXer4KHkCvew==" spinCount="100000" sheet="1" insertHyperlinks="0" scenarios="1"/>
  <mergeCells count="61">
    <mergeCell ref="A2:E2"/>
    <mergeCell ref="H2:N2"/>
    <mergeCell ref="A3:C3"/>
    <mergeCell ref="D3:E3"/>
    <mergeCell ref="A4:C4"/>
    <mergeCell ref="D4:E4"/>
    <mergeCell ref="A5:C5"/>
    <mergeCell ref="D5:E5"/>
    <mergeCell ref="A6:C6"/>
    <mergeCell ref="A7:C7"/>
    <mergeCell ref="A8:C8"/>
    <mergeCell ref="A9:C9"/>
    <mergeCell ref="A10:C10"/>
    <mergeCell ref="A31:G31"/>
    <mergeCell ref="J31:P31"/>
    <mergeCell ref="S31:Y31"/>
    <mergeCell ref="A32:B32"/>
    <mergeCell ref="J32:K32"/>
    <mergeCell ref="S32:T32"/>
    <mergeCell ref="A33:B33"/>
    <mergeCell ref="C33:F33"/>
    <mergeCell ref="J33:K33"/>
    <mergeCell ref="L33:O33"/>
    <mergeCell ref="S33:T33"/>
    <mergeCell ref="U33:X33"/>
    <mergeCell ref="A34:B34"/>
    <mergeCell ref="C34:F34"/>
    <mergeCell ref="J34:K34"/>
    <mergeCell ref="L34:O34"/>
    <mergeCell ref="S34:T34"/>
    <mergeCell ref="U34:X34"/>
    <mergeCell ref="A35:B35"/>
    <mergeCell ref="C35:F35"/>
    <mergeCell ref="J35:K35"/>
    <mergeCell ref="L35:O35"/>
    <mergeCell ref="S35:Y35"/>
    <mergeCell ref="A36:B36"/>
    <mergeCell ref="C36:F36"/>
    <mergeCell ref="J36:K36"/>
    <mergeCell ref="L36:O36"/>
    <mergeCell ref="A37:B37"/>
    <mergeCell ref="C37:F37"/>
    <mergeCell ref="J37:K37"/>
    <mergeCell ref="L37:O37"/>
    <mergeCell ref="A38:B38"/>
    <mergeCell ref="C38:F38"/>
    <mergeCell ref="J38:K38"/>
    <mergeCell ref="L38:O38"/>
    <mergeCell ref="A39:G39"/>
    <mergeCell ref="J39:P39"/>
    <mergeCell ref="W40:AC40"/>
    <mergeCell ref="H31:H32"/>
    <mergeCell ref="Q31:Q32"/>
    <mergeCell ref="Z31:Z32"/>
    <mergeCell ref="H3:N10"/>
    <mergeCell ref="A12:H30"/>
    <mergeCell ref="J12:Q30"/>
    <mergeCell ref="A40:G43"/>
    <mergeCell ref="J40:P43"/>
    <mergeCell ref="S12:Z30"/>
    <mergeCell ref="S36:Y39"/>
  </mergeCells>
  <dataValidations count="1">
    <dataValidation type="list" allowBlank="1" showInputMessage="1" showErrorMessage="1" sqref="G33:G38 P33:P38 Y33:Y34">
      <formula1>"TRUE,FALSE"</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100"/>
  <sheetViews>
    <sheetView workbookViewId="0">
      <selection activeCell="M43" sqref="M43:U46"/>
    </sheetView>
  </sheetViews>
  <sheetFormatPr defaultColWidth="9" defaultRowHeight="14"/>
  <cols>
    <col min="1" max="1" width="12.5" customWidth="1"/>
    <col min="3" max="3" width="9" customWidth="1"/>
    <col min="8" max="9" width="13.5" customWidth="1"/>
    <col min="10" max="10" width="18.25" customWidth="1"/>
    <col min="25" max="33" width="12" customWidth="1"/>
    <col min="46" max="46" width="27.625" customWidth="1"/>
  </cols>
  <sheetData>
    <row r="1" spans="1:2">
      <c r="A1" s="15" t="s">
        <v>23</v>
      </c>
      <c r="B1" s="6" t="str" cm="1">
        <f ca="1" t="array" ref="B1">IF(SUM(COUNTIF(INDIRECT({"$F$2","$M$2","$K$36","$W$36","$K$94","$Z$8","$W$96"}),"="&amp;IncompleteText)),IncompleteText,IF(SUM(COUNTIF(INDIRECT({"$F$2","$M$2","$K$36","$W$36","$K$94","$Z$8","$W$96"}),"="&amp;ErrorText)),ErrorText,OKText))</f>
        <v>BLANK</v>
      </c>
    </row>
    <row r="2" spans="1:13">
      <c r="A2" s="7" t="s">
        <v>144</v>
      </c>
      <c r="B2" s="7"/>
      <c r="C2" s="7"/>
      <c r="D2" s="7"/>
      <c r="E2" s="7"/>
      <c r="F2" s="8" t="str">
        <f>IF(COUNTIF(F4:F8,"="&amp;IncompleteText),IncompleteText,IF(COUNTIF(F4:F8,"="&amp;ErrorText),ErrorText,OKText))</f>
        <v>BLANK</v>
      </c>
      <c r="H2" s="7" t="s">
        <v>306</v>
      </c>
      <c r="I2" s="7"/>
      <c r="J2" s="7"/>
      <c r="K2" s="7"/>
      <c r="L2" s="7"/>
      <c r="M2" s="8" t="str">
        <f>IF(COUNTIF(M4:M8,"="&amp;IncompleteText),IncompleteText,IF(COUNTIF(M4:M8,"="&amp;ErrorText),ErrorText,OKText))</f>
        <v>BLANK</v>
      </c>
    </row>
    <row r="3" spans="1:13">
      <c r="A3" s="51" t="s">
        <v>224</v>
      </c>
      <c r="B3" s="52"/>
      <c r="C3" s="52"/>
      <c r="D3" s="40" t="s">
        <v>143</v>
      </c>
      <c r="E3" s="42"/>
      <c r="F3" s="8"/>
      <c r="H3" s="51" t="s">
        <v>224</v>
      </c>
      <c r="I3" s="52"/>
      <c r="J3" s="56"/>
      <c r="K3" s="40" t="s">
        <v>307</v>
      </c>
      <c r="L3" s="42"/>
      <c r="M3" s="8"/>
    </row>
    <row r="4" spans="1:13">
      <c r="A4" s="5" t="s">
        <v>25</v>
      </c>
      <c r="B4" s="5"/>
      <c r="C4" s="5"/>
      <c r="D4" s="25"/>
      <c r="E4" s="25"/>
      <c r="F4" s="6" t="str">
        <f>IF(ISBLANK(D4),IncompleteText,OKText)</f>
        <v>BLANK</v>
      </c>
      <c r="H4" s="5" t="s">
        <v>308</v>
      </c>
      <c r="I4" s="5"/>
      <c r="J4" s="5"/>
      <c r="K4" s="28"/>
      <c r="L4" s="28"/>
      <c r="M4" s="6" t="str">
        <f>IF(ISBLANK(K4),IncompleteText,OKText)</f>
        <v>BLANK</v>
      </c>
    </row>
    <row r="5" spans="1:13">
      <c r="A5" s="5" t="s">
        <v>309</v>
      </c>
      <c r="B5" s="5"/>
      <c r="C5" s="5"/>
      <c r="D5" s="28"/>
      <c r="E5" s="5" t="s">
        <v>310</v>
      </c>
      <c r="F5" s="6" t="str">
        <f>IF(ISBLANK(D5),IncompleteText,IF(D5&lt;(MaxTSVoltage*0.5),ErrorText,OKText))</f>
        <v>BLANK</v>
      </c>
      <c r="H5" s="5" t="s">
        <v>311</v>
      </c>
      <c r="I5" s="5"/>
      <c r="J5" s="5"/>
      <c r="K5" s="28"/>
      <c r="L5" s="28"/>
      <c r="M5" s="6" t="str">
        <f>IF(ISBLANK(K5),IncompleteText,OKText)</f>
        <v>BLANK</v>
      </c>
    </row>
    <row r="6" ht="39.75" customHeight="1" spans="1:13">
      <c r="A6" s="33" t="s">
        <v>312</v>
      </c>
      <c r="B6" s="33"/>
      <c r="C6" s="33"/>
      <c r="D6" s="46"/>
      <c r="E6" s="46"/>
      <c r="F6" s="6" t="str">
        <f>IF(ISBLANK(D6),IncompleteText,OKText)</f>
        <v>BLANK</v>
      </c>
      <c r="H6" s="5" t="s">
        <v>313</v>
      </c>
      <c r="I6" s="5"/>
      <c r="J6" s="5"/>
      <c r="K6" s="28"/>
      <c r="L6" s="5" t="s">
        <v>20</v>
      </c>
      <c r="M6" s="6" t="str">
        <f>IF(ISBLANK(K6),IncompleteText,IF(K6&gt;(5000/MaxTSVoltage),ErrorText,OKText))</f>
        <v>BLANK</v>
      </c>
    </row>
    <row r="7" ht="39.75" customHeight="1" spans="1:13">
      <c r="A7" s="33" t="s">
        <v>314</v>
      </c>
      <c r="B7" s="33"/>
      <c r="C7" s="33"/>
      <c r="D7" s="46"/>
      <c r="E7" s="46"/>
      <c r="F7" s="6" t="str">
        <f>IF(ISBLANK(D7),IncompleteText,OKText)</f>
        <v>BLANK</v>
      </c>
      <c r="H7" s="5" t="s">
        <v>315</v>
      </c>
      <c r="I7" s="5"/>
      <c r="J7" s="5"/>
      <c r="K7" s="28"/>
      <c r="L7" s="5" t="s">
        <v>18</v>
      </c>
      <c r="M7" s="6" t="str">
        <f>IF(ISBLANK(K7),IncompleteText,OKText)</f>
        <v>BLANK</v>
      </c>
    </row>
    <row r="8" spans="1:26">
      <c r="A8" s="5" t="s">
        <v>316</v>
      </c>
      <c r="B8" s="5"/>
      <c r="C8" s="5"/>
      <c r="D8" s="46"/>
      <c r="E8" s="46"/>
      <c r="F8" s="6" t="str">
        <f>IF(ISBLANK(D8),IncompleteText,OKText)</f>
        <v>BLANK</v>
      </c>
      <c r="H8" s="5" t="s">
        <v>317</v>
      </c>
      <c r="I8" s="5"/>
      <c r="J8" s="5"/>
      <c r="K8" s="28"/>
      <c r="L8" s="5" t="s">
        <v>20</v>
      </c>
      <c r="M8" s="6" t="str">
        <f>IF(ISBLANK(K8),IncompleteText,OKText)</f>
        <v>BLANK</v>
      </c>
      <c r="Y8" s="67" t="s">
        <v>318</v>
      </c>
      <c r="Z8" s="6" t="str" cm="1">
        <f ca="1" t="array" ref="Z8">IF(SUM(COUNTIF(INDIRECT({"$AI$36","$AI$50","$AI$56","$AU$36","$AU$77","$BG$77"}),"="&amp;IncompleteText)),IncompleteText,IF(SUM(COUNTIF(INDIRECT({"$AI$36","$AI$50","$AI$56","$AU$36","$AU$77","$BG$77"}),"="&amp;ErrorText)),ErrorText,OKText))</f>
        <v>OK</v>
      </c>
    </row>
    <row r="9" spans="25:59">
      <c r="Y9" s="14" t="s">
        <v>319</v>
      </c>
      <c r="Z9" s="12"/>
      <c r="AA9" s="12"/>
      <c r="AB9" s="12"/>
      <c r="AC9" s="12"/>
      <c r="AD9" s="12"/>
      <c r="AE9" s="12"/>
      <c r="AF9" s="12"/>
      <c r="AG9" s="12"/>
      <c r="AH9" s="12"/>
      <c r="AI9" s="12"/>
      <c r="AK9" s="14" t="s">
        <v>320</v>
      </c>
      <c r="AL9" s="12"/>
      <c r="AM9" s="12"/>
      <c r="AN9" s="12"/>
      <c r="AO9" s="12"/>
      <c r="AP9" s="12"/>
      <c r="AQ9" s="12"/>
      <c r="AR9" s="12"/>
      <c r="AS9" s="12"/>
      <c r="AT9" s="12"/>
      <c r="AU9" s="12"/>
      <c r="AW9" s="14"/>
      <c r="AX9" s="12"/>
      <c r="AY9" s="12"/>
      <c r="AZ9" s="12"/>
      <c r="BA9" s="12"/>
      <c r="BB9" s="12"/>
      <c r="BC9" s="12"/>
      <c r="BD9" s="12"/>
      <c r="BE9" s="12"/>
      <c r="BF9" s="12"/>
      <c r="BG9" s="12"/>
    </row>
    <row r="10" spans="1:59">
      <c r="A10" s="12" t="s">
        <v>321</v>
      </c>
      <c r="B10" s="12"/>
      <c r="C10" s="12"/>
      <c r="D10" s="12"/>
      <c r="E10" s="12"/>
      <c r="F10" s="12"/>
      <c r="G10" s="12"/>
      <c r="H10" s="12"/>
      <c r="I10" s="12"/>
      <c r="J10" s="12"/>
      <c r="K10" s="12"/>
      <c r="M10" s="12" t="s">
        <v>322</v>
      </c>
      <c r="N10" s="12"/>
      <c r="O10" s="12"/>
      <c r="P10" s="12"/>
      <c r="Q10" s="12"/>
      <c r="R10" s="12"/>
      <c r="S10" s="12"/>
      <c r="T10" s="12"/>
      <c r="U10" s="12"/>
      <c r="V10" s="12"/>
      <c r="W10" s="12"/>
      <c r="Y10" s="12"/>
      <c r="Z10" s="12"/>
      <c r="AA10" s="12"/>
      <c r="AB10" s="12"/>
      <c r="AC10" s="12"/>
      <c r="AD10" s="12"/>
      <c r="AE10" s="12"/>
      <c r="AF10" s="12"/>
      <c r="AG10" s="12"/>
      <c r="AH10" s="12"/>
      <c r="AI10" s="12"/>
      <c r="AK10" s="12"/>
      <c r="AL10" s="12"/>
      <c r="AM10" s="12"/>
      <c r="AN10" s="12"/>
      <c r="AO10" s="12"/>
      <c r="AP10" s="12"/>
      <c r="AQ10" s="12"/>
      <c r="AR10" s="12"/>
      <c r="AS10" s="12"/>
      <c r="AT10" s="12"/>
      <c r="AU10" s="12"/>
      <c r="AW10" s="12"/>
      <c r="AX10" s="12"/>
      <c r="AY10" s="12"/>
      <c r="AZ10" s="12"/>
      <c r="BA10" s="12"/>
      <c r="BB10" s="12"/>
      <c r="BC10" s="12"/>
      <c r="BD10" s="12"/>
      <c r="BE10" s="12"/>
      <c r="BF10" s="12"/>
      <c r="BG10" s="12"/>
    </row>
    <row r="11" spans="1:59">
      <c r="A11" s="12"/>
      <c r="B11" s="12"/>
      <c r="C11" s="12"/>
      <c r="D11" s="12"/>
      <c r="E11" s="12"/>
      <c r="F11" s="12"/>
      <c r="G11" s="12"/>
      <c r="H11" s="12"/>
      <c r="I11" s="12"/>
      <c r="J11" s="12"/>
      <c r="K11" s="12"/>
      <c r="M11" s="12"/>
      <c r="N11" s="12"/>
      <c r="O11" s="12"/>
      <c r="P11" s="12"/>
      <c r="Q11" s="12"/>
      <c r="R11" s="12"/>
      <c r="S11" s="12"/>
      <c r="T11" s="12"/>
      <c r="U11" s="12"/>
      <c r="V11" s="12"/>
      <c r="W11" s="12"/>
      <c r="Y11" s="12"/>
      <c r="Z11" s="12"/>
      <c r="AA11" s="12"/>
      <c r="AB11" s="12"/>
      <c r="AC11" s="12"/>
      <c r="AD11" s="12"/>
      <c r="AE11" s="12"/>
      <c r="AF11" s="12"/>
      <c r="AG11" s="12"/>
      <c r="AH11" s="12"/>
      <c r="AI11" s="12"/>
      <c r="AK11" s="12"/>
      <c r="AL11" s="12"/>
      <c r="AM11" s="12"/>
      <c r="AN11" s="12"/>
      <c r="AO11" s="12"/>
      <c r="AP11" s="12"/>
      <c r="AQ11" s="12"/>
      <c r="AR11" s="12"/>
      <c r="AS11" s="12"/>
      <c r="AT11" s="12"/>
      <c r="AU11" s="12"/>
      <c r="AW11" s="12"/>
      <c r="AX11" s="12"/>
      <c r="AY11" s="12"/>
      <c r="AZ11" s="12"/>
      <c r="BA11" s="12"/>
      <c r="BB11" s="12"/>
      <c r="BC11" s="12"/>
      <c r="BD11" s="12"/>
      <c r="BE11" s="12"/>
      <c r="BF11" s="12"/>
      <c r="BG11" s="12"/>
    </row>
    <row r="12" spans="1:59">
      <c r="A12" s="12"/>
      <c r="B12" s="12"/>
      <c r="C12" s="12"/>
      <c r="D12" s="12"/>
      <c r="E12" s="12"/>
      <c r="F12" s="12"/>
      <c r="G12" s="12"/>
      <c r="H12" s="12"/>
      <c r="I12" s="12"/>
      <c r="J12" s="12"/>
      <c r="K12" s="12"/>
      <c r="M12" s="12"/>
      <c r="N12" s="12"/>
      <c r="O12" s="12"/>
      <c r="P12" s="12"/>
      <c r="Q12" s="12"/>
      <c r="R12" s="12"/>
      <c r="S12" s="12"/>
      <c r="T12" s="12"/>
      <c r="U12" s="12"/>
      <c r="V12" s="12"/>
      <c r="W12" s="12"/>
      <c r="Y12" s="12"/>
      <c r="Z12" s="12"/>
      <c r="AA12" s="12"/>
      <c r="AB12" s="12"/>
      <c r="AC12" s="12"/>
      <c r="AD12" s="12"/>
      <c r="AE12" s="12"/>
      <c r="AF12" s="12"/>
      <c r="AG12" s="12"/>
      <c r="AH12" s="12"/>
      <c r="AI12" s="12"/>
      <c r="AK12" s="12"/>
      <c r="AL12" s="12"/>
      <c r="AM12" s="12"/>
      <c r="AN12" s="12"/>
      <c r="AO12" s="12"/>
      <c r="AP12" s="12"/>
      <c r="AQ12" s="12"/>
      <c r="AR12" s="12"/>
      <c r="AS12" s="12"/>
      <c r="AT12" s="12"/>
      <c r="AU12" s="12"/>
      <c r="AW12" s="12"/>
      <c r="AX12" s="12"/>
      <c r="AY12" s="12"/>
      <c r="AZ12" s="12"/>
      <c r="BA12" s="12"/>
      <c r="BB12" s="12"/>
      <c r="BC12" s="12"/>
      <c r="BD12" s="12"/>
      <c r="BE12" s="12"/>
      <c r="BF12" s="12"/>
      <c r="BG12" s="12"/>
    </row>
    <row r="13" spans="1:59">
      <c r="A13" s="12"/>
      <c r="B13" s="12"/>
      <c r="C13" s="12"/>
      <c r="D13" s="12"/>
      <c r="E13" s="12"/>
      <c r="F13" s="12"/>
      <c r="G13" s="12"/>
      <c r="H13" s="12"/>
      <c r="I13" s="12"/>
      <c r="J13" s="12"/>
      <c r="K13" s="12"/>
      <c r="M13" s="12"/>
      <c r="N13" s="12"/>
      <c r="O13" s="12"/>
      <c r="P13" s="12"/>
      <c r="Q13" s="12"/>
      <c r="R13" s="12"/>
      <c r="S13" s="12"/>
      <c r="T13" s="12"/>
      <c r="U13" s="12"/>
      <c r="V13" s="12"/>
      <c r="W13" s="12"/>
      <c r="Y13" s="12"/>
      <c r="Z13" s="12"/>
      <c r="AA13" s="12"/>
      <c r="AB13" s="12"/>
      <c r="AC13" s="12"/>
      <c r="AD13" s="12"/>
      <c r="AE13" s="12"/>
      <c r="AF13" s="12"/>
      <c r="AG13" s="12"/>
      <c r="AH13" s="12"/>
      <c r="AI13" s="12"/>
      <c r="AK13" s="12"/>
      <c r="AL13" s="12"/>
      <c r="AM13" s="12"/>
      <c r="AN13" s="12"/>
      <c r="AO13" s="12"/>
      <c r="AP13" s="12"/>
      <c r="AQ13" s="12"/>
      <c r="AR13" s="12"/>
      <c r="AS13" s="12"/>
      <c r="AT13" s="12"/>
      <c r="AU13" s="12"/>
      <c r="AW13" s="12"/>
      <c r="AX13" s="12"/>
      <c r="AY13" s="12"/>
      <c r="AZ13" s="12"/>
      <c r="BA13" s="12"/>
      <c r="BB13" s="12"/>
      <c r="BC13" s="12"/>
      <c r="BD13" s="12"/>
      <c r="BE13" s="12"/>
      <c r="BF13" s="12"/>
      <c r="BG13" s="12"/>
    </row>
    <row r="14" spans="1:59">
      <c r="A14" s="12"/>
      <c r="B14" s="12"/>
      <c r="C14" s="12"/>
      <c r="D14" s="12"/>
      <c r="E14" s="12"/>
      <c r="F14" s="12"/>
      <c r="G14" s="12"/>
      <c r="H14" s="12"/>
      <c r="I14" s="12"/>
      <c r="J14" s="12"/>
      <c r="K14" s="12"/>
      <c r="M14" s="12"/>
      <c r="N14" s="12"/>
      <c r="O14" s="12"/>
      <c r="P14" s="12"/>
      <c r="Q14" s="12"/>
      <c r="R14" s="12"/>
      <c r="S14" s="12"/>
      <c r="T14" s="12"/>
      <c r="U14" s="12"/>
      <c r="V14" s="12"/>
      <c r="W14" s="12"/>
      <c r="Y14" s="12"/>
      <c r="Z14" s="12"/>
      <c r="AA14" s="12"/>
      <c r="AB14" s="12"/>
      <c r="AC14" s="12"/>
      <c r="AD14" s="12"/>
      <c r="AE14" s="12"/>
      <c r="AF14" s="12"/>
      <c r="AG14" s="12"/>
      <c r="AH14" s="12"/>
      <c r="AI14" s="12"/>
      <c r="AK14" s="12"/>
      <c r="AL14" s="12"/>
      <c r="AM14" s="12"/>
      <c r="AN14" s="12"/>
      <c r="AO14" s="12"/>
      <c r="AP14" s="12"/>
      <c r="AQ14" s="12"/>
      <c r="AR14" s="12"/>
      <c r="AS14" s="12"/>
      <c r="AT14" s="12"/>
      <c r="AU14" s="12"/>
      <c r="AW14" s="12"/>
      <c r="AX14" s="12"/>
      <c r="AY14" s="12"/>
      <c r="AZ14" s="12"/>
      <c r="BA14" s="12"/>
      <c r="BB14" s="12"/>
      <c r="BC14" s="12"/>
      <c r="BD14" s="12"/>
      <c r="BE14" s="12"/>
      <c r="BF14" s="12"/>
      <c r="BG14" s="12"/>
    </row>
    <row r="15" spans="1:59">
      <c r="A15" s="12"/>
      <c r="B15" s="12"/>
      <c r="C15" s="12"/>
      <c r="D15" s="12"/>
      <c r="E15" s="12"/>
      <c r="F15" s="12"/>
      <c r="G15" s="12"/>
      <c r="H15" s="12"/>
      <c r="I15" s="12"/>
      <c r="J15" s="12"/>
      <c r="K15" s="12"/>
      <c r="M15" s="12"/>
      <c r="N15" s="12"/>
      <c r="O15" s="12"/>
      <c r="P15" s="12"/>
      <c r="Q15" s="12"/>
      <c r="R15" s="12"/>
      <c r="S15" s="12"/>
      <c r="T15" s="12"/>
      <c r="U15" s="12"/>
      <c r="V15" s="12"/>
      <c r="W15" s="12"/>
      <c r="Y15" s="12"/>
      <c r="Z15" s="12"/>
      <c r="AA15" s="12"/>
      <c r="AB15" s="12"/>
      <c r="AC15" s="12"/>
      <c r="AD15" s="12"/>
      <c r="AE15" s="12"/>
      <c r="AF15" s="12"/>
      <c r="AG15" s="12"/>
      <c r="AH15" s="12"/>
      <c r="AI15" s="12"/>
      <c r="AK15" s="12"/>
      <c r="AL15" s="12"/>
      <c r="AM15" s="12"/>
      <c r="AN15" s="12"/>
      <c r="AO15" s="12"/>
      <c r="AP15" s="12"/>
      <c r="AQ15" s="12"/>
      <c r="AR15" s="12"/>
      <c r="AS15" s="12"/>
      <c r="AT15" s="12"/>
      <c r="AU15" s="12"/>
      <c r="AW15" s="12"/>
      <c r="AX15" s="12"/>
      <c r="AY15" s="12"/>
      <c r="AZ15" s="12"/>
      <c r="BA15" s="12"/>
      <c r="BB15" s="12"/>
      <c r="BC15" s="12"/>
      <c r="BD15" s="12"/>
      <c r="BE15" s="12"/>
      <c r="BF15" s="12"/>
      <c r="BG15" s="12"/>
    </row>
    <row r="16" spans="1:59">
      <c r="A16" s="12"/>
      <c r="B16" s="12"/>
      <c r="C16" s="12"/>
      <c r="D16" s="12"/>
      <c r="E16" s="12"/>
      <c r="F16" s="12"/>
      <c r="G16" s="12"/>
      <c r="H16" s="12"/>
      <c r="I16" s="12"/>
      <c r="J16" s="12"/>
      <c r="K16" s="12"/>
      <c r="M16" s="12"/>
      <c r="N16" s="12"/>
      <c r="O16" s="12"/>
      <c r="P16" s="12"/>
      <c r="Q16" s="12"/>
      <c r="R16" s="12"/>
      <c r="S16" s="12"/>
      <c r="T16" s="12"/>
      <c r="U16" s="12"/>
      <c r="V16" s="12"/>
      <c r="W16" s="12"/>
      <c r="Y16" s="12"/>
      <c r="Z16" s="12"/>
      <c r="AA16" s="12"/>
      <c r="AB16" s="12"/>
      <c r="AC16" s="12"/>
      <c r="AD16" s="12"/>
      <c r="AE16" s="12"/>
      <c r="AF16" s="12"/>
      <c r="AG16" s="12"/>
      <c r="AH16" s="12"/>
      <c r="AI16" s="12"/>
      <c r="AK16" s="12"/>
      <c r="AL16" s="12"/>
      <c r="AM16" s="12"/>
      <c r="AN16" s="12"/>
      <c r="AO16" s="12"/>
      <c r="AP16" s="12"/>
      <c r="AQ16" s="12"/>
      <c r="AR16" s="12"/>
      <c r="AS16" s="12"/>
      <c r="AT16" s="12"/>
      <c r="AU16" s="12"/>
      <c r="AW16" s="12"/>
      <c r="AX16" s="12"/>
      <c r="AY16" s="12"/>
      <c r="AZ16" s="12"/>
      <c r="BA16" s="12"/>
      <c r="BB16" s="12"/>
      <c r="BC16" s="12"/>
      <c r="BD16" s="12"/>
      <c r="BE16" s="12"/>
      <c r="BF16" s="12"/>
      <c r="BG16" s="12"/>
    </row>
    <row r="17" spans="1:59">
      <c r="A17" s="12"/>
      <c r="B17" s="12"/>
      <c r="C17" s="12"/>
      <c r="D17" s="12"/>
      <c r="E17" s="12"/>
      <c r="F17" s="12"/>
      <c r="G17" s="12"/>
      <c r="H17" s="12"/>
      <c r="I17" s="12"/>
      <c r="J17" s="12"/>
      <c r="K17" s="12"/>
      <c r="M17" s="12"/>
      <c r="N17" s="12"/>
      <c r="O17" s="12"/>
      <c r="P17" s="12"/>
      <c r="Q17" s="12"/>
      <c r="R17" s="12"/>
      <c r="S17" s="12"/>
      <c r="T17" s="12"/>
      <c r="U17" s="12"/>
      <c r="V17" s="12"/>
      <c r="W17" s="12"/>
      <c r="Y17" s="12"/>
      <c r="Z17" s="12"/>
      <c r="AA17" s="12"/>
      <c r="AB17" s="12"/>
      <c r="AC17" s="12"/>
      <c r="AD17" s="12"/>
      <c r="AE17" s="12"/>
      <c r="AF17" s="12"/>
      <c r="AG17" s="12"/>
      <c r="AH17" s="12"/>
      <c r="AI17" s="12"/>
      <c r="AK17" s="12"/>
      <c r="AL17" s="12"/>
      <c r="AM17" s="12"/>
      <c r="AN17" s="12"/>
      <c r="AO17" s="12"/>
      <c r="AP17" s="12"/>
      <c r="AQ17" s="12"/>
      <c r="AR17" s="12"/>
      <c r="AS17" s="12"/>
      <c r="AT17" s="12"/>
      <c r="AU17" s="12"/>
      <c r="AW17" s="12"/>
      <c r="AX17" s="12"/>
      <c r="AY17" s="12"/>
      <c r="AZ17" s="12"/>
      <c r="BA17" s="12"/>
      <c r="BB17" s="12"/>
      <c r="BC17" s="12"/>
      <c r="BD17" s="12"/>
      <c r="BE17" s="12"/>
      <c r="BF17" s="12"/>
      <c r="BG17" s="12"/>
    </row>
    <row r="18" spans="1:59">
      <c r="A18" s="12"/>
      <c r="B18" s="12"/>
      <c r="C18" s="12"/>
      <c r="D18" s="12"/>
      <c r="E18" s="12"/>
      <c r="F18" s="12"/>
      <c r="G18" s="12"/>
      <c r="H18" s="12"/>
      <c r="I18" s="12"/>
      <c r="J18" s="12"/>
      <c r="K18" s="12"/>
      <c r="M18" s="12"/>
      <c r="N18" s="12"/>
      <c r="O18" s="12"/>
      <c r="P18" s="12"/>
      <c r="Q18" s="12"/>
      <c r="R18" s="12"/>
      <c r="S18" s="12"/>
      <c r="T18" s="12"/>
      <c r="U18" s="12"/>
      <c r="V18" s="12"/>
      <c r="W18" s="12"/>
      <c r="Y18" s="12"/>
      <c r="Z18" s="12"/>
      <c r="AA18" s="12"/>
      <c r="AB18" s="12"/>
      <c r="AC18" s="12"/>
      <c r="AD18" s="12"/>
      <c r="AE18" s="12"/>
      <c r="AF18" s="12"/>
      <c r="AG18" s="12"/>
      <c r="AH18" s="12"/>
      <c r="AI18" s="12"/>
      <c r="AK18" s="12"/>
      <c r="AL18" s="12"/>
      <c r="AM18" s="12"/>
      <c r="AN18" s="12"/>
      <c r="AO18" s="12"/>
      <c r="AP18" s="12"/>
      <c r="AQ18" s="12"/>
      <c r="AR18" s="12"/>
      <c r="AS18" s="12"/>
      <c r="AT18" s="12"/>
      <c r="AU18" s="12"/>
      <c r="AW18" s="12"/>
      <c r="AX18" s="12"/>
      <c r="AY18" s="12"/>
      <c r="AZ18" s="12"/>
      <c r="BA18" s="12"/>
      <c r="BB18" s="12"/>
      <c r="BC18" s="12"/>
      <c r="BD18" s="12"/>
      <c r="BE18" s="12"/>
      <c r="BF18" s="12"/>
      <c r="BG18" s="12"/>
    </row>
    <row r="19" spans="1:59">
      <c r="A19" s="12"/>
      <c r="B19" s="12"/>
      <c r="C19" s="12"/>
      <c r="D19" s="12"/>
      <c r="E19" s="12"/>
      <c r="F19" s="12"/>
      <c r="G19" s="12"/>
      <c r="H19" s="12"/>
      <c r="I19" s="12"/>
      <c r="J19" s="12"/>
      <c r="K19" s="12"/>
      <c r="M19" s="12"/>
      <c r="N19" s="12"/>
      <c r="O19" s="12"/>
      <c r="P19" s="12"/>
      <c r="Q19" s="12"/>
      <c r="R19" s="12"/>
      <c r="S19" s="12"/>
      <c r="T19" s="12"/>
      <c r="U19" s="12"/>
      <c r="V19" s="12"/>
      <c r="W19" s="12"/>
      <c r="Y19" s="12"/>
      <c r="Z19" s="12"/>
      <c r="AA19" s="12"/>
      <c r="AB19" s="12"/>
      <c r="AC19" s="12"/>
      <c r="AD19" s="12"/>
      <c r="AE19" s="12"/>
      <c r="AF19" s="12"/>
      <c r="AG19" s="12"/>
      <c r="AH19" s="12"/>
      <c r="AI19" s="12"/>
      <c r="AK19" s="12"/>
      <c r="AL19" s="12"/>
      <c r="AM19" s="12"/>
      <c r="AN19" s="12"/>
      <c r="AO19" s="12"/>
      <c r="AP19" s="12"/>
      <c r="AQ19" s="12"/>
      <c r="AR19" s="12"/>
      <c r="AS19" s="12"/>
      <c r="AT19" s="12"/>
      <c r="AU19" s="12"/>
      <c r="AW19" s="12"/>
      <c r="AX19" s="12"/>
      <c r="AY19" s="12"/>
      <c r="AZ19" s="12"/>
      <c r="BA19" s="12"/>
      <c r="BB19" s="12"/>
      <c r="BC19" s="12"/>
      <c r="BD19" s="12"/>
      <c r="BE19" s="12"/>
      <c r="BF19" s="12"/>
      <c r="BG19" s="12"/>
    </row>
    <row r="20" spans="1:59">
      <c r="A20" s="12"/>
      <c r="B20" s="12"/>
      <c r="C20" s="12"/>
      <c r="D20" s="12"/>
      <c r="E20" s="12"/>
      <c r="F20" s="12"/>
      <c r="G20" s="12"/>
      <c r="H20" s="12"/>
      <c r="I20" s="12"/>
      <c r="J20" s="12"/>
      <c r="K20" s="12"/>
      <c r="M20" s="12"/>
      <c r="N20" s="12"/>
      <c r="O20" s="12"/>
      <c r="P20" s="12"/>
      <c r="Q20" s="12"/>
      <c r="R20" s="12"/>
      <c r="S20" s="12"/>
      <c r="T20" s="12"/>
      <c r="U20" s="12"/>
      <c r="V20" s="12"/>
      <c r="W20" s="12"/>
      <c r="Y20" s="12"/>
      <c r="Z20" s="12"/>
      <c r="AA20" s="12"/>
      <c r="AB20" s="12"/>
      <c r="AC20" s="12"/>
      <c r="AD20" s="12"/>
      <c r="AE20" s="12"/>
      <c r="AF20" s="12"/>
      <c r="AG20" s="12"/>
      <c r="AH20" s="12"/>
      <c r="AI20" s="12"/>
      <c r="AK20" s="12"/>
      <c r="AL20" s="12"/>
      <c r="AM20" s="12"/>
      <c r="AN20" s="12"/>
      <c r="AO20" s="12"/>
      <c r="AP20" s="12"/>
      <c r="AQ20" s="12"/>
      <c r="AR20" s="12"/>
      <c r="AS20" s="12"/>
      <c r="AT20" s="12"/>
      <c r="AU20" s="12"/>
      <c r="AW20" s="12"/>
      <c r="AX20" s="12"/>
      <c r="AY20" s="12"/>
      <c r="AZ20" s="12"/>
      <c r="BA20" s="12"/>
      <c r="BB20" s="12"/>
      <c r="BC20" s="12"/>
      <c r="BD20" s="12"/>
      <c r="BE20" s="12"/>
      <c r="BF20" s="12"/>
      <c r="BG20" s="12"/>
    </row>
    <row r="21" spans="1:59">
      <c r="A21" s="12"/>
      <c r="B21" s="12"/>
      <c r="C21" s="12"/>
      <c r="D21" s="12"/>
      <c r="E21" s="12"/>
      <c r="F21" s="12"/>
      <c r="G21" s="12"/>
      <c r="H21" s="12"/>
      <c r="I21" s="12"/>
      <c r="J21" s="12"/>
      <c r="K21" s="12"/>
      <c r="M21" s="12"/>
      <c r="N21" s="12"/>
      <c r="O21" s="12"/>
      <c r="P21" s="12"/>
      <c r="Q21" s="12"/>
      <c r="R21" s="12"/>
      <c r="S21" s="12"/>
      <c r="T21" s="12"/>
      <c r="U21" s="12"/>
      <c r="V21" s="12"/>
      <c r="W21" s="12"/>
      <c r="Y21" s="12"/>
      <c r="Z21" s="12"/>
      <c r="AA21" s="12"/>
      <c r="AB21" s="12"/>
      <c r="AC21" s="12"/>
      <c r="AD21" s="12"/>
      <c r="AE21" s="12"/>
      <c r="AF21" s="12"/>
      <c r="AG21" s="12"/>
      <c r="AH21" s="12"/>
      <c r="AI21" s="12"/>
      <c r="AK21" s="12"/>
      <c r="AL21" s="12"/>
      <c r="AM21" s="12"/>
      <c r="AN21" s="12"/>
      <c r="AO21" s="12"/>
      <c r="AP21" s="12"/>
      <c r="AQ21" s="12"/>
      <c r="AR21" s="12"/>
      <c r="AS21" s="12"/>
      <c r="AT21" s="12"/>
      <c r="AU21" s="12"/>
      <c r="AW21" s="12"/>
      <c r="AX21" s="12"/>
      <c r="AY21" s="12"/>
      <c r="AZ21" s="12"/>
      <c r="BA21" s="12"/>
      <c r="BB21" s="12"/>
      <c r="BC21" s="12"/>
      <c r="BD21" s="12"/>
      <c r="BE21" s="12"/>
      <c r="BF21" s="12"/>
      <c r="BG21" s="12"/>
    </row>
    <row r="22" spans="1:59">
      <c r="A22" s="12"/>
      <c r="B22" s="12"/>
      <c r="C22" s="12"/>
      <c r="D22" s="12"/>
      <c r="E22" s="12"/>
      <c r="F22" s="12"/>
      <c r="G22" s="12"/>
      <c r="H22" s="12"/>
      <c r="I22" s="12"/>
      <c r="J22" s="12"/>
      <c r="K22" s="12"/>
      <c r="M22" s="12"/>
      <c r="N22" s="12"/>
      <c r="O22" s="12"/>
      <c r="P22" s="12"/>
      <c r="Q22" s="12"/>
      <c r="R22" s="12"/>
      <c r="S22" s="12"/>
      <c r="T22" s="12"/>
      <c r="U22" s="12"/>
      <c r="V22" s="12"/>
      <c r="W22" s="12"/>
      <c r="Y22" s="12"/>
      <c r="Z22" s="12"/>
      <c r="AA22" s="12"/>
      <c r="AB22" s="12"/>
      <c r="AC22" s="12"/>
      <c r="AD22" s="12"/>
      <c r="AE22" s="12"/>
      <c r="AF22" s="12"/>
      <c r="AG22" s="12"/>
      <c r="AH22" s="12"/>
      <c r="AI22" s="12"/>
      <c r="AK22" s="12"/>
      <c r="AL22" s="12"/>
      <c r="AM22" s="12"/>
      <c r="AN22" s="12"/>
      <c r="AO22" s="12"/>
      <c r="AP22" s="12"/>
      <c r="AQ22" s="12"/>
      <c r="AR22" s="12"/>
      <c r="AS22" s="12"/>
      <c r="AT22" s="12"/>
      <c r="AU22" s="12"/>
      <c r="AW22" s="12"/>
      <c r="AX22" s="12"/>
      <c r="AY22" s="12"/>
      <c r="AZ22" s="12"/>
      <c r="BA22" s="12"/>
      <c r="BB22" s="12"/>
      <c r="BC22" s="12"/>
      <c r="BD22" s="12"/>
      <c r="BE22" s="12"/>
      <c r="BF22" s="12"/>
      <c r="BG22" s="12"/>
    </row>
    <row r="23" spans="1:59">
      <c r="A23" s="12"/>
      <c r="B23" s="12"/>
      <c r="C23" s="12"/>
      <c r="D23" s="12"/>
      <c r="E23" s="12"/>
      <c r="F23" s="12"/>
      <c r="G23" s="12"/>
      <c r="H23" s="12"/>
      <c r="I23" s="12"/>
      <c r="J23" s="12"/>
      <c r="K23" s="12"/>
      <c r="M23" s="12"/>
      <c r="N23" s="12"/>
      <c r="O23" s="12"/>
      <c r="P23" s="12"/>
      <c r="Q23" s="12"/>
      <c r="R23" s="12"/>
      <c r="S23" s="12"/>
      <c r="T23" s="12"/>
      <c r="U23" s="12"/>
      <c r="V23" s="12"/>
      <c r="W23" s="12"/>
      <c r="Y23" s="12"/>
      <c r="Z23" s="12"/>
      <c r="AA23" s="12"/>
      <c r="AB23" s="12"/>
      <c r="AC23" s="12"/>
      <c r="AD23" s="12"/>
      <c r="AE23" s="12"/>
      <c r="AF23" s="12"/>
      <c r="AG23" s="12"/>
      <c r="AH23" s="12"/>
      <c r="AI23" s="12"/>
      <c r="AK23" s="12"/>
      <c r="AL23" s="12"/>
      <c r="AM23" s="12"/>
      <c r="AN23" s="12"/>
      <c r="AO23" s="12"/>
      <c r="AP23" s="12"/>
      <c r="AQ23" s="12"/>
      <c r="AR23" s="12"/>
      <c r="AS23" s="12"/>
      <c r="AT23" s="12"/>
      <c r="AU23" s="12"/>
      <c r="AW23" s="12"/>
      <c r="AX23" s="12"/>
      <c r="AY23" s="12"/>
      <c r="AZ23" s="12"/>
      <c r="BA23" s="12"/>
      <c r="BB23" s="12"/>
      <c r="BC23" s="12"/>
      <c r="BD23" s="12"/>
      <c r="BE23" s="12"/>
      <c r="BF23" s="12"/>
      <c r="BG23" s="12"/>
    </row>
    <row r="24" spans="1:59">
      <c r="A24" s="12"/>
      <c r="B24" s="12"/>
      <c r="C24" s="12"/>
      <c r="D24" s="12"/>
      <c r="E24" s="12"/>
      <c r="F24" s="12"/>
      <c r="G24" s="12"/>
      <c r="H24" s="12"/>
      <c r="I24" s="12"/>
      <c r="J24" s="12"/>
      <c r="K24" s="12"/>
      <c r="M24" s="12"/>
      <c r="N24" s="12"/>
      <c r="O24" s="12"/>
      <c r="P24" s="12"/>
      <c r="Q24" s="12"/>
      <c r="R24" s="12"/>
      <c r="S24" s="12"/>
      <c r="T24" s="12"/>
      <c r="U24" s="12"/>
      <c r="V24" s="12"/>
      <c r="W24" s="12"/>
      <c r="Y24" s="12"/>
      <c r="Z24" s="12"/>
      <c r="AA24" s="12"/>
      <c r="AB24" s="12"/>
      <c r="AC24" s="12"/>
      <c r="AD24" s="12"/>
      <c r="AE24" s="12"/>
      <c r="AF24" s="12"/>
      <c r="AG24" s="12"/>
      <c r="AH24" s="12"/>
      <c r="AI24" s="12"/>
      <c r="AK24" s="12"/>
      <c r="AL24" s="12"/>
      <c r="AM24" s="12"/>
      <c r="AN24" s="12"/>
      <c r="AO24" s="12"/>
      <c r="AP24" s="12"/>
      <c r="AQ24" s="12"/>
      <c r="AR24" s="12"/>
      <c r="AS24" s="12"/>
      <c r="AT24" s="12"/>
      <c r="AU24" s="12"/>
      <c r="AW24" s="12"/>
      <c r="AX24" s="12"/>
      <c r="AY24" s="12"/>
      <c r="AZ24" s="12"/>
      <c r="BA24" s="12"/>
      <c r="BB24" s="12"/>
      <c r="BC24" s="12"/>
      <c r="BD24" s="12"/>
      <c r="BE24" s="12"/>
      <c r="BF24" s="12"/>
      <c r="BG24" s="12"/>
    </row>
    <row r="25" spans="1:59">
      <c r="A25" s="12"/>
      <c r="B25" s="12"/>
      <c r="C25" s="12"/>
      <c r="D25" s="12"/>
      <c r="E25" s="12"/>
      <c r="F25" s="12"/>
      <c r="G25" s="12"/>
      <c r="H25" s="12"/>
      <c r="I25" s="12"/>
      <c r="J25" s="12"/>
      <c r="K25" s="12"/>
      <c r="M25" s="12"/>
      <c r="N25" s="12"/>
      <c r="O25" s="12"/>
      <c r="P25" s="12"/>
      <c r="Q25" s="12"/>
      <c r="R25" s="12"/>
      <c r="S25" s="12"/>
      <c r="T25" s="12"/>
      <c r="U25" s="12"/>
      <c r="V25" s="12"/>
      <c r="W25" s="12"/>
      <c r="Y25" s="12"/>
      <c r="Z25" s="12"/>
      <c r="AA25" s="12"/>
      <c r="AB25" s="12"/>
      <c r="AC25" s="12"/>
      <c r="AD25" s="12"/>
      <c r="AE25" s="12"/>
      <c r="AF25" s="12"/>
      <c r="AG25" s="12"/>
      <c r="AH25" s="12"/>
      <c r="AI25" s="12"/>
      <c r="AK25" s="12"/>
      <c r="AL25" s="12"/>
      <c r="AM25" s="12"/>
      <c r="AN25" s="12"/>
      <c r="AO25" s="12"/>
      <c r="AP25" s="12"/>
      <c r="AQ25" s="12"/>
      <c r="AR25" s="12"/>
      <c r="AS25" s="12"/>
      <c r="AT25" s="12"/>
      <c r="AU25" s="12"/>
      <c r="AW25" s="12"/>
      <c r="AX25" s="12"/>
      <c r="AY25" s="12"/>
      <c r="AZ25" s="12"/>
      <c r="BA25" s="12"/>
      <c r="BB25" s="12"/>
      <c r="BC25" s="12"/>
      <c r="BD25" s="12"/>
      <c r="BE25" s="12"/>
      <c r="BF25" s="12"/>
      <c r="BG25" s="12"/>
    </row>
    <row r="26" spans="1:59">
      <c r="A26" s="12"/>
      <c r="B26" s="12"/>
      <c r="C26" s="12"/>
      <c r="D26" s="12"/>
      <c r="E26" s="12"/>
      <c r="F26" s="12"/>
      <c r="G26" s="12"/>
      <c r="H26" s="12"/>
      <c r="I26" s="12"/>
      <c r="J26" s="12"/>
      <c r="K26" s="12"/>
      <c r="M26" s="12"/>
      <c r="N26" s="12"/>
      <c r="O26" s="12"/>
      <c r="P26" s="12"/>
      <c r="Q26" s="12"/>
      <c r="R26" s="12"/>
      <c r="S26" s="12"/>
      <c r="T26" s="12"/>
      <c r="U26" s="12"/>
      <c r="V26" s="12"/>
      <c r="W26" s="12"/>
      <c r="Y26" s="12"/>
      <c r="Z26" s="12"/>
      <c r="AA26" s="12"/>
      <c r="AB26" s="12"/>
      <c r="AC26" s="12"/>
      <c r="AD26" s="12"/>
      <c r="AE26" s="12"/>
      <c r="AF26" s="12"/>
      <c r="AG26" s="12"/>
      <c r="AH26" s="12"/>
      <c r="AI26" s="12"/>
      <c r="AK26" s="12"/>
      <c r="AL26" s="12"/>
      <c r="AM26" s="12"/>
      <c r="AN26" s="12"/>
      <c r="AO26" s="12"/>
      <c r="AP26" s="12"/>
      <c r="AQ26" s="12"/>
      <c r="AR26" s="12"/>
      <c r="AS26" s="12"/>
      <c r="AT26" s="12"/>
      <c r="AU26" s="12"/>
      <c r="AW26" s="12"/>
      <c r="AX26" s="12"/>
      <c r="AY26" s="12"/>
      <c r="AZ26" s="12"/>
      <c r="BA26" s="12"/>
      <c r="BB26" s="12"/>
      <c r="BC26" s="12"/>
      <c r="BD26" s="12"/>
      <c r="BE26" s="12"/>
      <c r="BF26" s="12"/>
      <c r="BG26" s="12"/>
    </row>
    <row r="27" spans="1:59">
      <c r="A27" s="12"/>
      <c r="B27" s="12"/>
      <c r="C27" s="12"/>
      <c r="D27" s="12"/>
      <c r="E27" s="12"/>
      <c r="F27" s="12"/>
      <c r="G27" s="12"/>
      <c r="H27" s="12"/>
      <c r="I27" s="12"/>
      <c r="J27" s="12"/>
      <c r="K27" s="12"/>
      <c r="M27" s="12"/>
      <c r="N27" s="12"/>
      <c r="O27" s="12"/>
      <c r="P27" s="12"/>
      <c r="Q27" s="12"/>
      <c r="R27" s="12"/>
      <c r="S27" s="12"/>
      <c r="T27" s="12"/>
      <c r="U27" s="12"/>
      <c r="V27" s="12"/>
      <c r="W27" s="12"/>
      <c r="Y27" s="12"/>
      <c r="Z27" s="12"/>
      <c r="AA27" s="12"/>
      <c r="AB27" s="12"/>
      <c r="AC27" s="12"/>
      <c r="AD27" s="12"/>
      <c r="AE27" s="12"/>
      <c r="AF27" s="12"/>
      <c r="AG27" s="12"/>
      <c r="AH27" s="12"/>
      <c r="AI27" s="12"/>
      <c r="AK27" s="12"/>
      <c r="AL27" s="12"/>
      <c r="AM27" s="12"/>
      <c r="AN27" s="12"/>
      <c r="AO27" s="12"/>
      <c r="AP27" s="12"/>
      <c r="AQ27" s="12"/>
      <c r="AR27" s="12"/>
      <c r="AS27" s="12"/>
      <c r="AT27" s="12"/>
      <c r="AU27" s="12"/>
      <c r="AW27" s="12"/>
      <c r="AX27" s="12"/>
      <c r="AY27" s="12"/>
      <c r="AZ27" s="12"/>
      <c r="BA27" s="12"/>
      <c r="BB27" s="12"/>
      <c r="BC27" s="12"/>
      <c r="BD27" s="12"/>
      <c r="BE27" s="12"/>
      <c r="BF27" s="12"/>
      <c r="BG27" s="12"/>
    </row>
    <row r="28" spans="1:59">
      <c r="A28" s="12"/>
      <c r="B28" s="12"/>
      <c r="C28" s="12"/>
      <c r="D28" s="12"/>
      <c r="E28" s="12"/>
      <c r="F28" s="12"/>
      <c r="G28" s="12"/>
      <c r="H28" s="12"/>
      <c r="I28" s="12"/>
      <c r="J28" s="12"/>
      <c r="K28" s="12"/>
      <c r="M28" s="12"/>
      <c r="N28" s="12"/>
      <c r="O28" s="12"/>
      <c r="P28" s="12"/>
      <c r="Q28" s="12"/>
      <c r="R28" s="12"/>
      <c r="S28" s="12"/>
      <c r="T28" s="12"/>
      <c r="U28" s="12"/>
      <c r="V28" s="12"/>
      <c r="W28" s="12"/>
      <c r="Y28" s="12"/>
      <c r="Z28" s="12"/>
      <c r="AA28" s="12"/>
      <c r="AB28" s="12"/>
      <c r="AC28" s="12"/>
      <c r="AD28" s="12"/>
      <c r="AE28" s="12"/>
      <c r="AF28" s="12"/>
      <c r="AG28" s="12"/>
      <c r="AH28" s="12"/>
      <c r="AI28" s="12"/>
      <c r="AK28" s="12"/>
      <c r="AL28" s="12"/>
      <c r="AM28" s="12"/>
      <c r="AN28" s="12"/>
      <c r="AO28" s="12"/>
      <c r="AP28" s="12"/>
      <c r="AQ28" s="12"/>
      <c r="AR28" s="12"/>
      <c r="AS28" s="12"/>
      <c r="AT28" s="12"/>
      <c r="AU28" s="12"/>
      <c r="AW28" s="12"/>
      <c r="AX28" s="12"/>
      <c r="AY28" s="12"/>
      <c r="AZ28" s="12"/>
      <c r="BA28" s="12"/>
      <c r="BB28" s="12"/>
      <c r="BC28" s="12"/>
      <c r="BD28" s="12"/>
      <c r="BE28" s="12"/>
      <c r="BF28" s="12"/>
      <c r="BG28" s="12"/>
    </row>
    <row r="29" spans="1:59">
      <c r="A29" s="12"/>
      <c r="B29" s="12"/>
      <c r="C29" s="12"/>
      <c r="D29" s="12"/>
      <c r="E29" s="12"/>
      <c r="F29" s="12"/>
      <c r="G29" s="12"/>
      <c r="H29" s="12"/>
      <c r="I29" s="12"/>
      <c r="J29" s="12"/>
      <c r="K29" s="12"/>
      <c r="M29" s="12"/>
      <c r="N29" s="12"/>
      <c r="O29" s="12"/>
      <c r="P29" s="12"/>
      <c r="Q29" s="12"/>
      <c r="R29" s="12"/>
      <c r="S29" s="12"/>
      <c r="T29" s="12"/>
      <c r="U29" s="12"/>
      <c r="V29" s="12"/>
      <c r="W29" s="12"/>
      <c r="Y29" s="12"/>
      <c r="Z29" s="12"/>
      <c r="AA29" s="12"/>
      <c r="AB29" s="12"/>
      <c r="AC29" s="12"/>
      <c r="AD29" s="12"/>
      <c r="AE29" s="12"/>
      <c r="AF29" s="12"/>
      <c r="AG29" s="12"/>
      <c r="AH29" s="12"/>
      <c r="AI29" s="12"/>
      <c r="AK29" s="12"/>
      <c r="AL29" s="12"/>
      <c r="AM29" s="12"/>
      <c r="AN29" s="12"/>
      <c r="AO29" s="12"/>
      <c r="AP29" s="12"/>
      <c r="AQ29" s="12"/>
      <c r="AR29" s="12"/>
      <c r="AS29" s="12"/>
      <c r="AT29" s="12"/>
      <c r="AU29" s="12"/>
      <c r="AW29" s="12"/>
      <c r="AX29" s="12"/>
      <c r="AY29" s="12"/>
      <c r="AZ29" s="12"/>
      <c r="BA29" s="12"/>
      <c r="BB29" s="12"/>
      <c r="BC29" s="12"/>
      <c r="BD29" s="12"/>
      <c r="BE29" s="12"/>
      <c r="BF29" s="12"/>
      <c r="BG29" s="12"/>
    </row>
    <row r="30" spans="1:59">
      <c r="A30" s="12"/>
      <c r="B30" s="12"/>
      <c r="C30" s="12"/>
      <c r="D30" s="12"/>
      <c r="E30" s="12"/>
      <c r="F30" s="12"/>
      <c r="G30" s="12"/>
      <c r="H30" s="12"/>
      <c r="I30" s="12"/>
      <c r="J30" s="12"/>
      <c r="K30" s="12"/>
      <c r="M30" s="12"/>
      <c r="N30" s="12"/>
      <c r="O30" s="12"/>
      <c r="P30" s="12"/>
      <c r="Q30" s="12"/>
      <c r="R30" s="12"/>
      <c r="S30" s="12"/>
      <c r="T30" s="12"/>
      <c r="U30" s="12"/>
      <c r="V30" s="12"/>
      <c r="W30" s="12"/>
      <c r="Y30" s="12"/>
      <c r="Z30" s="12"/>
      <c r="AA30" s="12"/>
      <c r="AB30" s="12"/>
      <c r="AC30" s="12"/>
      <c r="AD30" s="12"/>
      <c r="AE30" s="12"/>
      <c r="AF30" s="12"/>
      <c r="AG30" s="12"/>
      <c r="AH30" s="12"/>
      <c r="AI30" s="12"/>
      <c r="AK30" s="12"/>
      <c r="AL30" s="12"/>
      <c r="AM30" s="12"/>
      <c r="AN30" s="12"/>
      <c r="AO30" s="12"/>
      <c r="AP30" s="12"/>
      <c r="AQ30" s="12"/>
      <c r="AR30" s="12"/>
      <c r="AS30" s="12"/>
      <c r="AT30" s="12"/>
      <c r="AU30" s="12"/>
      <c r="AW30" s="12"/>
      <c r="AX30" s="12"/>
      <c r="AY30" s="12"/>
      <c r="AZ30" s="12"/>
      <c r="BA30" s="12"/>
      <c r="BB30" s="12"/>
      <c r="BC30" s="12"/>
      <c r="BD30" s="12"/>
      <c r="BE30" s="12"/>
      <c r="BF30" s="12"/>
      <c r="BG30" s="12"/>
    </row>
    <row r="31" spans="1:59">
      <c r="A31" s="12"/>
      <c r="B31" s="12"/>
      <c r="C31" s="12"/>
      <c r="D31" s="12"/>
      <c r="E31" s="12"/>
      <c r="F31" s="12"/>
      <c r="G31" s="12"/>
      <c r="H31" s="12"/>
      <c r="I31" s="12"/>
      <c r="J31" s="12"/>
      <c r="K31" s="12"/>
      <c r="M31" s="12"/>
      <c r="N31" s="12"/>
      <c r="O31" s="12"/>
      <c r="P31" s="12"/>
      <c r="Q31" s="12"/>
      <c r="R31" s="12"/>
      <c r="S31" s="12"/>
      <c r="T31" s="12"/>
      <c r="U31" s="12"/>
      <c r="V31" s="12"/>
      <c r="W31" s="12"/>
      <c r="Y31" s="12"/>
      <c r="Z31" s="12"/>
      <c r="AA31" s="12"/>
      <c r="AB31" s="12"/>
      <c r="AC31" s="12"/>
      <c r="AD31" s="12"/>
      <c r="AE31" s="12"/>
      <c r="AF31" s="12"/>
      <c r="AG31" s="12"/>
      <c r="AH31" s="12"/>
      <c r="AI31" s="12"/>
      <c r="AK31" s="12"/>
      <c r="AL31" s="12"/>
      <c r="AM31" s="12"/>
      <c r="AN31" s="12"/>
      <c r="AO31" s="12"/>
      <c r="AP31" s="12"/>
      <c r="AQ31" s="12"/>
      <c r="AR31" s="12"/>
      <c r="AS31" s="12"/>
      <c r="AT31" s="12"/>
      <c r="AU31" s="12"/>
      <c r="AW31" s="12"/>
      <c r="AX31" s="12"/>
      <c r="AY31" s="12"/>
      <c r="AZ31" s="12"/>
      <c r="BA31" s="12"/>
      <c r="BB31" s="12"/>
      <c r="BC31" s="12"/>
      <c r="BD31" s="12"/>
      <c r="BE31" s="12"/>
      <c r="BF31" s="12"/>
      <c r="BG31" s="12"/>
    </row>
    <row r="32" spans="1:59">
      <c r="A32" s="12"/>
      <c r="B32" s="12"/>
      <c r="C32" s="12"/>
      <c r="D32" s="12"/>
      <c r="E32" s="12"/>
      <c r="F32" s="12"/>
      <c r="G32" s="12"/>
      <c r="H32" s="12"/>
      <c r="I32" s="12"/>
      <c r="J32" s="12"/>
      <c r="K32" s="12"/>
      <c r="M32" s="12"/>
      <c r="N32" s="12"/>
      <c r="O32" s="12"/>
      <c r="P32" s="12"/>
      <c r="Q32" s="12"/>
      <c r="R32" s="12"/>
      <c r="S32" s="12"/>
      <c r="T32" s="12"/>
      <c r="U32" s="12"/>
      <c r="V32" s="12"/>
      <c r="W32" s="12"/>
      <c r="Y32" s="12"/>
      <c r="Z32" s="12"/>
      <c r="AA32" s="12"/>
      <c r="AB32" s="12"/>
      <c r="AC32" s="12"/>
      <c r="AD32" s="12"/>
      <c r="AE32" s="12"/>
      <c r="AF32" s="12"/>
      <c r="AG32" s="12"/>
      <c r="AH32" s="12"/>
      <c r="AI32" s="12"/>
      <c r="AK32" s="12"/>
      <c r="AL32" s="12"/>
      <c r="AM32" s="12"/>
      <c r="AN32" s="12"/>
      <c r="AO32" s="12"/>
      <c r="AP32" s="12"/>
      <c r="AQ32" s="12"/>
      <c r="AR32" s="12"/>
      <c r="AS32" s="12"/>
      <c r="AT32" s="12"/>
      <c r="AU32" s="12"/>
      <c r="AW32" s="12"/>
      <c r="AX32" s="12"/>
      <c r="AY32" s="12"/>
      <c r="AZ32" s="12"/>
      <c r="BA32" s="12"/>
      <c r="BB32" s="12"/>
      <c r="BC32" s="12"/>
      <c r="BD32" s="12"/>
      <c r="BE32" s="12"/>
      <c r="BF32" s="12"/>
      <c r="BG32" s="12"/>
    </row>
    <row r="33" spans="1:59">
      <c r="A33" s="12"/>
      <c r="B33" s="12"/>
      <c r="C33" s="12"/>
      <c r="D33" s="12"/>
      <c r="E33" s="12"/>
      <c r="F33" s="12"/>
      <c r="G33" s="12"/>
      <c r="H33" s="12"/>
      <c r="I33" s="12"/>
      <c r="J33" s="12"/>
      <c r="K33" s="12"/>
      <c r="M33" s="12"/>
      <c r="N33" s="12"/>
      <c r="O33" s="12"/>
      <c r="P33" s="12"/>
      <c r="Q33" s="12"/>
      <c r="R33" s="12"/>
      <c r="S33" s="12"/>
      <c r="T33" s="12"/>
      <c r="U33" s="12"/>
      <c r="V33" s="12"/>
      <c r="W33" s="12"/>
      <c r="Y33" s="12"/>
      <c r="Z33" s="12"/>
      <c r="AA33" s="12"/>
      <c r="AB33" s="12"/>
      <c r="AC33" s="12"/>
      <c r="AD33" s="12"/>
      <c r="AE33" s="12"/>
      <c r="AF33" s="12"/>
      <c r="AG33" s="12"/>
      <c r="AH33" s="12"/>
      <c r="AI33" s="12"/>
      <c r="AK33" s="12"/>
      <c r="AL33" s="12"/>
      <c r="AM33" s="12"/>
      <c r="AN33" s="12"/>
      <c r="AO33" s="12"/>
      <c r="AP33" s="12"/>
      <c r="AQ33" s="12"/>
      <c r="AR33" s="12"/>
      <c r="AS33" s="12"/>
      <c r="AT33" s="12"/>
      <c r="AU33" s="12"/>
      <c r="AW33" s="12"/>
      <c r="AX33" s="12"/>
      <c r="AY33" s="12"/>
      <c r="AZ33" s="12"/>
      <c r="BA33" s="12"/>
      <c r="BB33" s="12"/>
      <c r="BC33" s="12"/>
      <c r="BD33" s="12"/>
      <c r="BE33" s="12"/>
      <c r="BF33" s="12"/>
      <c r="BG33" s="12"/>
    </row>
    <row r="34" spans="1:59">
      <c r="A34" s="12"/>
      <c r="B34" s="12"/>
      <c r="C34" s="12"/>
      <c r="D34" s="12"/>
      <c r="E34" s="12"/>
      <c r="F34" s="12"/>
      <c r="G34" s="12"/>
      <c r="H34" s="12"/>
      <c r="I34" s="12"/>
      <c r="J34" s="12"/>
      <c r="K34" s="12"/>
      <c r="M34" s="12"/>
      <c r="N34" s="12"/>
      <c r="O34" s="12"/>
      <c r="P34" s="12"/>
      <c r="Q34" s="12"/>
      <c r="R34" s="12"/>
      <c r="S34" s="12"/>
      <c r="T34" s="12"/>
      <c r="U34" s="12"/>
      <c r="V34" s="12"/>
      <c r="W34" s="12"/>
      <c r="Y34" s="12"/>
      <c r="Z34" s="12"/>
      <c r="AA34" s="12"/>
      <c r="AB34" s="12"/>
      <c r="AC34" s="12"/>
      <c r="AD34" s="12"/>
      <c r="AE34" s="12"/>
      <c r="AF34" s="12"/>
      <c r="AG34" s="12"/>
      <c r="AH34" s="12"/>
      <c r="AI34" s="12"/>
      <c r="AK34" s="12"/>
      <c r="AL34" s="12"/>
      <c r="AM34" s="12"/>
      <c r="AN34" s="12"/>
      <c r="AO34" s="12"/>
      <c r="AP34" s="12"/>
      <c r="AQ34" s="12"/>
      <c r="AR34" s="12"/>
      <c r="AS34" s="12"/>
      <c r="AT34" s="12"/>
      <c r="AU34" s="12"/>
      <c r="AW34" s="12"/>
      <c r="AX34" s="12"/>
      <c r="AY34" s="12"/>
      <c r="AZ34" s="12"/>
      <c r="BA34" s="12"/>
      <c r="BB34" s="12"/>
      <c r="BC34" s="12"/>
      <c r="BD34" s="12"/>
      <c r="BE34" s="12"/>
      <c r="BF34" s="12"/>
      <c r="BG34" s="12"/>
    </row>
    <row r="35" spans="1:47">
      <c r="A35" s="12"/>
      <c r="B35" s="12"/>
      <c r="C35" s="12"/>
      <c r="D35" s="12"/>
      <c r="E35" s="12"/>
      <c r="F35" s="12"/>
      <c r="G35" s="12"/>
      <c r="H35" s="12"/>
      <c r="I35" s="12"/>
      <c r="J35" s="12"/>
      <c r="K35" s="12"/>
      <c r="M35" s="12"/>
      <c r="N35" s="12"/>
      <c r="O35" s="12"/>
      <c r="P35" s="12"/>
      <c r="Q35" s="12"/>
      <c r="R35" s="12"/>
      <c r="S35" s="12"/>
      <c r="T35" s="12"/>
      <c r="U35" s="12"/>
      <c r="V35" s="12"/>
      <c r="W35" s="12"/>
      <c r="Y35" s="7" t="s">
        <v>323</v>
      </c>
      <c r="Z35" s="7"/>
      <c r="AA35" s="7"/>
      <c r="AB35" s="7"/>
      <c r="AC35" s="7"/>
      <c r="AD35" s="7"/>
      <c r="AE35" s="7"/>
      <c r="AF35" s="7"/>
      <c r="AG35" s="7"/>
      <c r="AH35" s="7"/>
      <c r="AI35" s="57" t="str">
        <f>IF(COUNTIF(AI37:AI41,"="&amp;IncompleteText),IncompleteText,IF(COUNTIF(AI37:AI41,"="&amp;ErrorText),ErrorText,OKText))</f>
        <v>BLANK</v>
      </c>
      <c r="AK35" s="7" t="s">
        <v>324</v>
      </c>
      <c r="AL35" s="7"/>
      <c r="AM35" s="7"/>
      <c r="AN35" s="7"/>
      <c r="AO35" s="7"/>
      <c r="AP35" s="7"/>
      <c r="AQ35" s="7"/>
      <c r="AR35" s="7"/>
      <c r="AS35" s="7"/>
      <c r="AT35" s="7"/>
      <c r="AU35" s="57" t="str">
        <f>IF(COUNTIF(AU37:AU48,"="&amp;IncompleteText),IncompleteText,IF(COUNTIF(AU37:AU48,"="&amp;ErrorText),ErrorText,OKText))</f>
        <v>BLANK</v>
      </c>
    </row>
    <row r="36" spans="1:59">
      <c r="A36" s="7" t="s">
        <v>321</v>
      </c>
      <c r="B36" s="7"/>
      <c r="C36" s="7"/>
      <c r="D36" s="7"/>
      <c r="E36" s="7"/>
      <c r="F36" s="7"/>
      <c r="G36" s="7"/>
      <c r="H36" s="7"/>
      <c r="I36" s="7"/>
      <c r="J36" s="7"/>
      <c r="K36" s="57" t="str">
        <f>IF(COUNTIF(K38:K62,"="&amp;IncompleteText),IncompleteText,IF(COUNTIF(K38:K62,"="&amp;ErrorText),ErrorText,OKText))</f>
        <v>BLANK</v>
      </c>
      <c r="M36" s="7" t="s">
        <v>322</v>
      </c>
      <c r="N36" s="7"/>
      <c r="O36" s="7"/>
      <c r="P36" s="7"/>
      <c r="Q36" s="7"/>
      <c r="R36" s="7"/>
      <c r="S36" s="7"/>
      <c r="T36" s="7"/>
      <c r="U36" s="7"/>
      <c r="V36" s="7"/>
      <c r="W36" s="57" t="str">
        <f>IF(COUNTIF(W38:W41,"="&amp;IncompleteText),IncompleteText,IF(COUNTIF(W38:W41,"="&amp;ErrorText),ErrorText,OKText))</f>
        <v>BLANK</v>
      </c>
      <c r="Y36" s="36"/>
      <c r="Z36" s="36"/>
      <c r="AA36" s="36"/>
      <c r="AB36" s="36"/>
      <c r="AC36" s="36"/>
      <c r="AD36" s="36"/>
      <c r="AE36" s="36"/>
      <c r="AF36" s="36"/>
      <c r="AG36" s="36"/>
      <c r="AH36" s="36"/>
      <c r="AI36" s="8"/>
      <c r="AK36" s="36"/>
      <c r="AL36" s="36"/>
      <c r="AM36" s="36"/>
      <c r="AN36" s="36"/>
      <c r="AO36" s="36"/>
      <c r="AP36" s="36"/>
      <c r="AQ36" s="36"/>
      <c r="AR36" s="36"/>
      <c r="AS36" s="36"/>
      <c r="AT36" s="36"/>
      <c r="AU36" s="8"/>
      <c r="AW36" s="73" t="s">
        <v>325</v>
      </c>
      <c r="AX36" s="74"/>
      <c r="AY36" s="74"/>
      <c r="AZ36" s="74"/>
      <c r="BA36" s="74"/>
      <c r="BB36" s="74"/>
      <c r="BC36" s="74"/>
      <c r="BD36" s="74"/>
      <c r="BE36" s="74"/>
      <c r="BF36" s="74"/>
      <c r="BG36" s="74"/>
    </row>
    <row r="37" ht="34.5" customHeight="1" spans="1:59">
      <c r="A37" s="53" t="s">
        <v>326</v>
      </c>
      <c r="B37" s="54"/>
      <c r="C37" s="36"/>
      <c r="D37" s="36"/>
      <c r="E37" s="36"/>
      <c r="F37" s="36"/>
      <c r="G37" s="36"/>
      <c r="H37" s="36"/>
      <c r="I37" s="36"/>
      <c r="J37" s="36"/>
      <c r="K37" s="8"/>
      <c r="M37" s="36"/>
      <c r="N37" s="36"/>
      <c r="O37" s="36"/>
      <c r="P37" s="36"/>
      <c r="Q37" s="36"/>
      <c r="R37" s="36"/>
      <c r="S37" s="36"/>
      <c r="T37" s="36"/>
      <c r="U37" s="36"/>
      <c r="V37" s="36"/>
      <c r="W37" s="8"/>
      <c r="Y37" s="22" t="s">
        <v>327</v>
      </c>
      <c r="Z37" s="22"/>
      <c r="AA37" s="22"/>
      <c r="AB37" s="22"/>
      <c r="AC37" s="22"/>
      <c r="AD37" s="22"/>
      <c r="AE37" s="22"/>
      <c r="AF37" s="22"/>
      <c r="AG37" s="60"/>
      <c r="AH37" s="28"/>
      <c r="AI37" s="6" t="str">
        <f>IF(ISBLANK(AH37),IncompleteText,IF(AH37,OKText,ErrorText))</f>
        <v>BLANK</v>
      </c>
      <c r="AK37" s="55" t="s">
        <v>328</v>
      </c>
      <c r="AL37" s="55"/>
      <c r="AM37" s="55"/>
      <c r="AN37" s="55"/>
      <c r="AO37" s="55"/>
      <c r="AP37" s="55"/>
      <c r="AQ37" s="55"/>
      <c r="AR37" s="55"/>
      <c r="AS37" s="62"/>
      <c r="AT37" s="70"/>
      <c r="AU37" s="6" t="str">
        <f>IF(ISBLANK(AT37),IncompleteText,OKText)</f>
        <v>BLANK</v>
      </c>
      <c r="AW37" s="75"/>
      <c r="AX37" s="76"/>
      <c r="AY37" s="76"/>
      <c r="AZ37" s="76"/>
      <c r="BA37" s="76"/>
      <c r="BB37" s="76"/>
      <c r="BC37" s="76"/>
      <c r="BD37" s="76"/>
      <c r="BE37" s="76"/>
      <c r="BF37" s="76"/>
      <c r="BG37" s="81"/>
    </row>
    <row r="38" spans="1:59">
      <c r="A38" s="5" t="s">
        <v>329</v>
      </c>
      <c r="B38" s="5"/>
      <c r="C38" s="5" t="s">
        <v>330</v>
      </c>
      <c r="D38" s="5"/>
      <c r="E38" s="5"/>
      <c r="F38" s="5"/>
      <c r="G38" s="5"/>
      <c r="H38" s="5"/>
      <c r="I38" s="17"/>
      <c r="J38" s="28"/>
      <c r="K38" s="6" t="str">
        <f t="shared" ref="K38:K62" si="0">IF(ISBLANK(J38),IncompleteText,IF(J38,OKText,ErrorText))</f>
        <v>BLANK</v>
      </c>
      <c r="M38" s="5" t="s">
        <v>331</v>
      </c>
      <c r="N38" s="5"/>
      <c r="O38" s="5"/>
      <c r="P38" s="5"/>
      <c r="Q38" s="5"/>
      <c r="R38" s="5"/>
      <c r="S38" s="5"/>
      <c r="T38" s="5"/>
      <c r="U38" s="17"/>
      <c r="V38" s="28"/>
      <c r="W38" s="6" t="str">
        <f>IF(ISBLANK(V38),IncompleteText,IF(V38,OKText,ErrorText))</f>
        <v>BLANK</v>
      </c>
      <c r="Y38" s="55" t="s">
        <v>332</v>
      </c>
      <c r="Z38" s="55"/>
      <c r="AA38" s="55"/>
      <c r="AB38" s="55"/>
      <c r="AC38" s="55"/>
      <c r="AD38" s="55"/>
      <c r="AE38" s="55"/>
      <c r="AF38" s="55"/>
      <c r="AG38" s="62"/>
      <c r="AH38" s="28"/>
      <c r="AI38" s="6" t="str">
        <f>IF(ISBLANK(AH38),IncompleteText,IF(AH38,OKText,ErrorText))</f>
        <v>BLANK</v>
      </c>
      <c r="AK38" s="55" t="s">
        <v>333</v>
      </c>
      <c r="AL38" s="55"/>
      <c r="AM38" s="55"/>
      <c r="AN38" s="55"/>
      <c r="AO38" s="55"/>
      <c r="AP38" s="55"/>
      <c r="AQ38" s="55"/>
      <c r="AR38" s="55"/>
      <c r="AS38" s="62"/>
      <c r="AT38" s="28"/>
      <c r="AU38" s="6" t="str">
        <f>IF(AT$37="车队自制原理",OKText,IF(ISBLANK(AT38),IncompleteText,IF(AT38,OKText,ErrorText)))</f>
        <v>BLANK</v>
      </c>
      <c r="AW38" s="77"/>
      <c r="AX38" s="78"/>
      <c r="AY38" s="78"/>
      <c r="AZ38" s="78"/>
      <c r="BA38" s="78"/>
      <c r="BB38" s="78"/>
      <c r="BC38" s="78"/>
      <c r="BD38" s="78"/>
      <c r="BE38" s="78"/>
      <c r="BF38" s="78"/>
      <c r="BG38" s="82"/>
    </row>
    <row r="39" spans="1:59">
      <c r="A39" s="5" t="s">
        <v>334</v>
      </c>
      <c r="B39" s="5"/>
      <c r="C39" s="5" t="s">
        <v>335</v>
      </c>
      <c r="D39" s="5"/>
      <c r="E39" s="5"/>
      <c r="F39" s="5"/>
      <c r="G39" s="5"/>
      <c r="H39" s="5"/>
      <c r="I39" s="17"/>
      <c r="J39" s="28"/>
      <c r="K39" s="6" t="str">
        <f t="shared" si="0"/>
        <v>BLANK</v>
      </c>
      <c r="M39" s="5" t="s">
        <v>336</v>
      </c>
      <c r="N39" s="5"/>
      <c r="O39" s="5"/>
      <c r="P39" s="5"/>
      <c r="Q39" s="5"/>
      <c r="R39" s="5"/>
      <c r="S39" s="5"/>
      <c r="T39" s="5"/>
      <c r="U39" s="17"/>
      <c r="V39" s="28"/>
      <c r="W39" s="6" t="str">
        <f>IF(ISBLANK(V39),IncompleteText,IF(V39,OKText,ErrorText))</f>
        <v>BLANK</v>
      </c>
      <c r="Y39" s="55" t="s">
        <v>337</v>
      </c>
      <c r="Z39" s="55"/>
      <c r="AA39" s="55"/>
      <c r="AB39" s="55"/>
      <c r="AC39" s="55"/>
      <c r="AD39" s="55"/>
      <c r="AE39" s="55"/>
      <c r="AF39" s="55"/>
      <c r="AG39" s="62"/>
      <c r="AH39" s="28"/>
      <c r="AI39" s="6" t="str">
        <f>IF(ISBLANK(AH39),IncompleteText,IF(AH39,OKText,ErrorText))</f>
        <v>BLANK</v>
      </c>
      <c r="AK39" s="55" t="s">
        <v>338</v>
      </c>
      <c r="AL39" s="55"/>
      <c r="AM39" s="55"/>
      <c r="AN39" s="55"/>
      <c r="AO39" s="55"/>
      <c r="AP39" s="55"/>
      <c r="AQ39" s="55"/>
      <c r="AR39" s="55"/>
      <c r="AS39" s="62"/>
      <c r="AT39" s="71"/>
      <c r="AU39" s="6" t="str">
        <f>IF(AT$37="车队自制原理",OKText,IF(ISBLANK(AT39),IncompleteText,IF(AT39,OKText,ErrorText)))</f>
        <v>BLANK</v>
      </c>
      <c r="AW39" s="77"/>
      <c r="AX39" s="78"/>
      <c r="AY39" s="78"/>
      <c r="AZ39" s="78"/>
      <c r="BA39" s="78"/>
      <c r="BB39" s="78"/>
      <c r="BC39" s="78"/>
      <c r="BD39" s="78"/>
      <c r="BE39" s="78"/>
      <c r="BF39" s="78"/>
      <c r="BG39" s="82"/>
    </row>
    <row r="40" spans="1:59">
      <c r="A40" s="5" t="s">
        <v>339</v>
      </c>
      <c r="B40" s="5"/>
      <c r="C40" s="5" t="s">
        <v>340</v>
      </c>
      <c r="D40" s="5"/>
      <c r="E40" s="5"/>
      <c r="F40" s="5"/>
      <c r="G40" s="5"/>
      <c r="H40" s="5"/>
      <c r="I40" s="17"/>
      <c r="J40" s="28"/>
      <c r="K40" s="6" t="str">
        <f t="shared" si="0"/>
        <v>BLANK</v>
      </c>
      <c r="M40" s="5" t="s">
        <v>341</v>
      </c>
      <c r="N40" s="5"/>
      <c r="O40" s="5"/>
      <c r="P40" s="5"/>
      <c r="Q40" s="5"/>
      <c r="R40" s="5"/>
      <c r="S40" s="5"/>
      <c r="T40" s="5"/>
      <c r="U40" s="17"/>
      <c r="V40" s="28"/>
      <c r="W40" s="6" t="str">
        <f>IF(ISBLANK(V40),IncompleteText,IF(V40,OKText,ErrorText))</f>
        <v>BLANK</v>
      </c>
      <c r="Y40" s="55" t="s">
        <v>342</v>
      </c>
      <c r="Z40" s="55"/>
      <c r="AA40" s="55"/>
      <c r="AB40" s="55"/>
      <c r="AC40" s="55"/>
      <c r="AD40" s="55"/>
      <c r="AE40" s="55"/>
      <c r="AF40" s="55"/>
      <c r="AG40" s="62"/>
      <c r="AH40" s="28"/>
      <c r="AI40" s="6" t="str">
        <f>IF(ISBLANK(AH40),IncompleteText,IF(AH40,OKText,ErrorText))</f>
        <v>BLANK</v>
      </c>
      <c r="AK40" s="55" t="s">
        <v>343</v>
      </c>
      <c r="AL40" s="55"/>
      <c r="AM40" s="55"/>
      <c r="AN40" s="55"/>
      <c r="AO40" s="55"/>
      <c r="AP40" s="55"/>
      <c r="AQ40" s="55"/>
      <c r="AR40" s="55"/>
      <c r="AS40" s="62"/>
      <c r="AT40" s="28"/>
      <c r="AU40" s="6" t="str">
        <f>IF(AT$37="购买传感器",OKText,IF(ISBLANK(AT40),IncompleteText,IF(AT40,OKText,ErrorText)))</f>
        <v>BLANK</v>
      </c>
      <c r="AW40" s="77"/>
      <c r="AX40" s="78"/>
      <c r="AY40" s="78"/>
      <c r="AZ40" s="78"/>
      <c r="BA40" s="78"/>
      <c r="BB40" s="78"/>
      <c r="BC40" s="78"/>
      <c r="BD40" s="78"/>
      <c r="BE40" s="78"/>
      <c r="BF40" s="78"/>
      <c r="BG40" s="82"/>
    </row>
    <row r="41" ht="44.25" customHeight="1" spans="1:59">
      <c r="A41" s="5" t="s">
        <v>344</v>
      </c>
      <c r="B41" s="5"/>
      <c r="C41" s="5" t="s">
        <v>345</v>
      </c>
      <c r="D41" s="5"/>
      <c r="E41" s="5"/>
      <c r="F41" s="5"/>
      <c r="G41" s="5"/>
      <c r="H41" s="5"/>
      <c r="I41" s="17"/>
      <c r="J41" s="28"/>
      <c r="K41" s="6" t="str">
        <f t="shared" si="0"/>
        <v>BLANK</v>
      </c>
      <c r="M41" s="5" t="s">
        <v>346</v>
      </c>
      <c r="N41" s="5"/>
      <c r="O41" s="5"/>
      <c r="P41" s="5"/>
      <c r="Q41" s="5"/>
      <c r="R41" s="5"/>
      <c r="S41" s="5"/>
      <c r="T41" s="5"/>
      <c r="U41" s="17"/>
      <c r="V41" s="28"/>
      <c r="W41" s="6" t="str">
        <f>IF(ISBLANK(V41),IncompleteText,IF(V41,OKText,ErrorText))</f>
        <v>BLANK</v>
      </c>
      <c r="Y41" s="22" t="s">
        <v>347</v>
      </c>
      <c r="Z41" s="22"/>
      <c r="AA41" s="22"/>
      <c r="AB41" s="22"/>
      <c r="AC41" s="22"/>
      <c r="AD41" s="22"/>
      <c r="AE41" s="22"/>
      <c r="AF41" s="22"/>
      <c r="AG41" s="60"/>
      <c r="AH41" s="28"/>
      <c r="AI41" s="8" t="str">
        <f>IF(ISBLANK(AH41),IncompleteText,IF(AH41,OKText,ErrorText))</f>
        <v>BLANK</v>
      </c>
      <c r="AK41" s="22" t="s">
        <v>348</v>
      </c>
      <c r="AL41" s="22"/>
      <c r="AM41" s="22"/>
      <c r="AN41" s="22"/>
      <c r="AO41" s="22"/>
      <c r="AP41" s="22"/>
      <c r="AQ41" s="22"/>
      <c r="AR41" s="22"/>
      <c r="AS41" s="60"/>
      <c r="AT41" s="28"/>
      <c r="AU41" s="6" t="str">
        <f>IF(AT$37="购买传感器",OKText,IF(ISBLANK(AT41),IncompleteText,IF(AT41,OKText,ErrorText)))</f>
        <v>BLANK</v>
      </c>
      <c r="AW41" s="77"/>
      <c r="AX41" s="78"/>
      <c r="AY41" s="78"/>
      <c r="AZ41" s="78"/>
      <c r="BA41" s="78"/>
      <c r="BB41" s="78"/>
      <c r="BC41" s="78"/>
      <c r="BD41" s="78"/>
      <c r="BE41" s="78"/>
      <c r="BF41" s="78"/>
      <c r="BG41" s="82"/>
    </row>
    <row r="42" spans="1:59">
      <c r="A42" s="5" t="s">
        <v>349</v>
      </c>
      <c r="B42" s="5"/>
      <c r="C42" s="5" t="s">
        <v>350</v>
      </c>
      <c r="D42" s="5"/>
      <c r="E42" s="5"/>
      <c r="F42" s="5"/>
      <c r="G42" s="5"/>
      <c r="H42" s="5"/>
      <c r="I42" s="17"/>
      <c r="J42" s="28"/>
      <c r="K42" s="6" t="str">
        <f t="shared" si="0"/>
        <v>BLANK</v>
      </c>
      <c r="M42" s="7" t="s">
        <v>152</v>
      </c>
      <c r="N42" s="7"/>
      <c r="O42" s="7"/>
      <c r="P42" s="7"/>
      <c r="Q42" s="7"/>
      <c r="R42" s="7"/>
      <c r="S42" s="7"/>
      <c r="T42" s="7"/>
      <c r="U42" s="7"/>
      <c r="V42" s="63" t="s">
        <v>224</v>
      </c>
      <c r="W42" s="64"/>
      <c r="Y42" s="7" t="s">
        <v>152</v>
      </c>
      <c r="Z42" s="7"/>
      <c r="AA42" s="7"/>
      <c r="AB42" s="7"/>
      <c r="AC42" s="7"/>
      <c r="AD42" s="7"/>
      <c r="AE42" s="7"/>
      <c r="AF42" s="7"/>
      <c r="AG42" s="7"/>
      <c r="AH42" s="63" t="s">
        <v>248</v>
      </c>
      <c r="AI42" s="64"/>
      <c r="AK42" s="55" t="s">
        <v>351</v>
      </c>
      <c r="AL42" s="55"/>
      <c r="AM42" s="55"/>
      <c r="AN42" s="55"/>
      <c r="AO42" s="55"/>
      <c r="AP42" s="55"/>
      <c r="AQ42" s="55"/>
      <c r="AR42" s="55"/>
      <c r="AS42" s="62"/>
      <c r="AT42" s="28"/>
      <c r="AU42" s="6" t="str">
        <f>IF(AT36="购买传感器",OKText,IF(ISBLANK(AT42),IncompleteText,IF(ISBLANK(AT42),ErrorText,OKText)))</f>
        <v>BLANK</v>
      </c>
      <c r="AW42" s="77"/>
      <c r="AX42" s="78"/>
      <c r="AY42" s="78"/>
      <c r="AZ42" s="78"/>
      <c r="BA42" s="78"/>
      <c r="BB42" s="78"/>
      <c r="BC42" s="78"/>
      <c r="BD42" s="78"/>
      <c r="BE42" s="78"/>
      <c r="BF42" s="78"/>
      <c r="BG42" s="82"/>
    </row>
    <row r="43" spans="1:59">
      <c r="A43" s="5" t="s">
        <v>352</v>
      </c>
      <c r="B43" s="5"/>
      <c r="C43" s="5" t="s">
        <v>353</v>
      </c>
      <c r="D43" s="5"/>
      <c r="E43" s="5"/>
      <c r="F43" s="5"/>
      <c r="G43" s="5"/>
      <c r="H43" s="5"/>
      <c r="I43" s="17"/>
      <c r="J43" s="28"/>
      <c r="K43" s="6" t="str">
        <f t="shared" si="0"/>
        <v>BLANK</v>
      </c>
      <c r="M43" s="58"/>
      <c r="N43" s="59"/>
      <c r="O43" s="59"/>
      <c r="P43" s="59"/>
      <c r="Q43" s="59"/>
      <c r="R43" s="59"/>
      <c r="S43" s="59"/>
      <c r="T43" s="59"/>
      <c r="U43" s="59"/>
      <c r="V43" s="65" t="s">
        <v>307</v>
      </c>
      <c r="W43" s="66"/>
      <c r="Y43" s="29"/>
      <c r="Z43" s="30"/>
      <c r="AA43" s="30"/>
      <c r="AB43" s="30"/>
      <c r="AC43" s="30"/>
      <c r="AD43" s="30"/>
      <c r="AE43" s="30"/>
      <c r="AF43" s="30"/>
      <c r="AG43" s="30"/>
      <c r="AH43" s="65" t="s">
        <v>354</v>
      </c>
      <c r="AI43" s="66"/>
      <c r="AK43" s="55" t="s">
        <v>355</v>
      </c>
      <c r="AL43" s="55"/>
      <c r="AM43" s="55"/>
      <c r="AN43" s="55"/>
      <c r="AO43" s="55"/>
      <c r="AP43" s="55"/>
      <c r="AQ43" s="55"/>
      <c r="AR43" s="55"/>
      <c r="AS43" s="62"/>
      <c r="AT43" s="28"/>
      <c r="AU43" s="6" t="str">
        <f>IF(AT$37="购买传感器",OKText,IF(ISBLANK(AT43),IncompleteText,IF(AT43,OKText,ErrorText)))</f>
        <v>BLANK</v>
      </c>
      <c r="AW43" s="77"/>
      <c r="AX43" s="78"/>
      <c r="AY43" s="78"/>
      <c r="AZ43" s="78"/>
      <c r="BA43" s="78"/>
      <c r="BB43" s="78"/>
      <c r="BC43" s="78"/>
      <c r="BD43" s="78"/>
      <c r="BE43" s="78"/>
      <c r="BF43" s="78"/>
      <c r="BG43" s="82"/>
    </row>
    <row r="44" spans="1:59">
      <c r="A44" s="5" t="s">
        <v>356</v>
      </c>
      <c r="B44" s="5"/>
      <c r="C44" s="5" t="s">
        <v>357</v>
      </c>
      <c r="D44" s="5"/>
      <c r="E44" s="5"/>
      <c r="F44" s="5"/>
      <c r="G44" s="5"/>
      <c r="H44" s="5"/>
      <c r="I44" s="17"/>
      <c r="J44" s="28"/>
      <c r="K44" s="6" t="str">
        <f t="shared" si="0"/>
        <v>BLANK</v>
      </c>
      <c r="M44" s="58"/>
      <c r="N44" s="59"/>
      <c r="O44" s="59"/>
      <c r="P44" s="59"/>
      <c r="Q44" s="59"/>
      <c r="R44" s="59"/>
      <c r="S44" s="59"/>
      <c r="T44" s="59"/>
      <c r="U44" s="59"/>
      <c r="V44" s="66"/>
      <c r="W44" s="66"/>
      <c r="Y44" s="29"/>
      <c r="Z44" s="30"/>
      <c r="AA44" s="30"/>
      <c r="AB44" s="30"/>
      <c r="AC44" s="30"/>
      <c r="AD44" s="30"/>
      <c r="AE44" s="30"/>
      <c r="AF44" s="30"/>
      <c r="AG44" s="30"/>
      <c r="AH44" s="66"/>
      <c r="AI44" s="66"/>
      <c r="AK44" s="55" t="s">
        <v>358</v>
      </c>
      <c r="AL44" s="55"/>
      <c r="AM44" s="55"/>
      <c r="AN44" s="55"/>
      <c r="AO44" s="55"/>
      <c r="AP44" s="55"/>
      <c r="AQ44" s="55"/>
      <c r="AR44" s="55"/>
      <c r="AS44" s="62"/>
      <c r="AT44" s="28"/>
      <c r="AU44" s="6" t="str">
        <f>IF(ISBLANK(AT44),IncompleteText,IF(ISBLANK(AT44),ErrorText,OKText))</f>
        <v>BLANK</v>
      </c>
      <c r="AW44" s="77"/>
      <c r="AX44" s="78"/>
      <c r="AY44" s="78"/>
      <c r="AZ44" s="78"/>
      <c r="BA44" s="78"/>
      <c r="BB44" s="78"/>
      <c r="BC44" s="78"/>
      <c r="BD44" s="78"/>
      <c r="BE44" s="78"/>
      <c r="BF44" s="78"/>
      <c r="BG44" s="82"/>
    </row>
    <row r="45" spans="1:59">
      <c r="A45" s="5" t="s">
        <v>356</v>
      </c>
      <c r="B45" s="5"/>
      <c r="C45" s="5" t="s">
        <v>359</v>
      </c>
      <c r="D45" s="5"/>
      <c r="E45" s="5"/>
      <c r="F45" s="5"/>
      <c r="G45" s="5"/>
      <c r="H45" s="5"/>
      <c r="I45" s="17"/>
      <c r="J45" s="28"/>
      <c r="K45" s="6" t="str">
        <f t="shared" si="0"/>
        <v>BLANK</v>
      </c>
      <c r="M45" s="58"/>
      <c r="N45" s="59"/>
      <c r="O45" s="59"/>
      <c r="P45" s="59"/>
      <c r="Q45" s="59"/>
      <c r="R45" s="59"/>
      <c r="S45" s="59"/>
      <c r="T45" s="59"/>
      <c r="U45" s="59"/>
      <c r="V45" s="66"/>
      <c r="W45" s="66"/>
      <c r="Y45" s="29"/>
      <c r="Z45" s="30"/>
      <c r="AA45" s="30"/>
      <c r="AB45" s="30"/>
      <c r="AC45" s="30"/>
      <c r="AD45" s="30"/>
      <c r="AE45" s="30"/>
      <c r="AF45" s="30"/>
      <c r="AG45" s="30"/>
      <c r="AH45" s="66"/>
      <c r="AI45" s="66"/>
      <c r="AK45" s="55" t="s">
        <v>360</v>
      </c>
      <c r="AL45" s="55"/>
      <c r="AM45" s="55"/>
      <c r="AN45" s="55"/>
      <c r="AO45" s="55"/>
      <c r="AP45" s="55"/>
      <c r="AQ45" s="55"/>
      <c r="AR45" s="55"/>
      <c r="AS45" s="62"/>
      <c r="AT45" s="72" t="e">
        <f>VLOOKUP(AT44,FuseTable,2,FALSE)</f>
        <v>#N/A</v>
      </c>
      <c r="AU45" s="6" t="str">
        <f>IF(ISNA(AT45),IncompleteText,OKText)</f>
        <v>BLANK</v>
      </c>
      <c r="AW45" s="77"/>
      <c r="AX45" s="78"/>
      <c r="AY45" s="78"/>
      <c r="AZ45" s="78"/>
      <c r="BA45" s="78"/>
      <c r="BB45" s="78"/>
      <c r="BC45" s="78"/>
      <c r="BD45" s="78"/>
      <c r="BE45" s="78"/>
      <c r="BF45" s="78"/>
      <c r="BG45" s="82"/>
    </row>
    <row r="46" ht="39" customHeight="1" spans="1:59">
      <c r="A46" s="5" t="s">
        <v>307</v>
      </c>
      <c r="B46" s="5"/>
      <c r="C46" s="5" t="s">
        <v>306</v>
      </c>
      <c r="D46" s="5"/>
      <c r="E46" s="5"/>
      <c r="F46" s="5"/>
      <c r="G46" s="5"/>
      <c r="H46" s="5"/>
      <c r="I46" s="17"/>
      <c r="J46" s="28"/>
      <c r="K46" s="6" t="str">
        <f t="shared" si="0"/>
        <v>BLANK</v>
      </c>
      <c r="M46" s="58"/>
      <c r="N46" s="59"/>
      <c r="O46" s="59"/>
      <c r="P46" s="59"/>
      <c r="Q46" s="59"/>
      <c r="R46" s="59"/>
      <c r="S46" s="59"/>
      <c r="T46" s="59"/>
      <c r="U46" s="59"/>
      <c r="V46" s="66"/>
      <c r="W46" s="66"/>
      <c r="Y46" s="29"/>
      <c r="Z46" s="30"/>
      <c r="AA46" s="30"/>
      <c r="AB46" s="30"/>
      <c r="AC46" s="30"/>
      <c r="AD46" s="30"/>
      <c r="AE46" s="30"/>
      <c r="AF46" s="30"/>
      <c r="AG46" s="30"/>
      <c r="AH46" s="66"/>
      <c r="AI46" s="66"/>
      <c r="AK46" s="22" t="s">
        <v>361</v>
      </c>
      <c r="AL46" s="22"/>
      <c r="AM46" s="22"/>
      <c r="AN46" s="22"/>
      <c r="AO46" s="22"/>
      <c r="AP46" s="22"/>
      <c r="AQ46" s="22"/>
      <c r="AR46" s="22"/>
      <c r="AS46" s="60"/>
      <c r="AT46" s="28"/>
      <c r="AU46" s="6" t="str">
        <f>IF(ISBLANK(AT46),IncompleteText,IF(AT46,OKText,ErrorText))</f>
        <v>BLANK</v>
      </c>
      <c r="AW46" s="79"/>
      <c r="AX46" s="80"/>
      <c r="AY46" s="80"/>
      <c r="AZ46" s="80"/>
      <c r="BA46" s="80"/>
      <c r="BB46" s="80"/>
      <c r="BC46" s="80"/>
      <c r="BD46" s="80"/>
      <c r="BE46" s="80"/>
      <c r="BF46" s="80"/>
      <c r="BG46" s="83"/>
    </row>
    <row r="47" spans="1:47">
      <c r="A47" s="5" t="s">
        <v>362</v>
      </c>
      <c r="B47" s="5"/>
      <c r="C47" s="5" t="s">
        <v>363</v>
      </c>
      <c r="D47" s="5"/>
      <c r="E47" s="5"/>
      <c r="F47" s="5"/>
      <c r="G47" s="5"/>
      <c r="H47" s="5"/>
      <c r="I47" s="17"/>
      <c r="J47" s="28"/>
      <c r="K47" s="6" t="str">
        <f t="shared" si="0"/>
        <v>BLANK</v>
      </c>
      <c r="AK47" s="55" t="s">
        <v>364</v>
      </c>
      <c r="AL47" s="55"/>
      <c r="AM47" s="55"/>
      <c r="AN47" s="55"/>
      <c r="AO47" s="55"/>
      <c r="AP47" s="55"/>
      <c r="AQ47" s="55"/>
      <c r="AR47" s="55"/>
      <c r="AS47" s="62"/>
      <c r="AT47" s="28"/>
      <c r="AU47" s="6" t="str">
        <f>IF(ISBLANK(AT47),IncompleteText,IF(AT47,OKText,ErrorText))</f>
        <v>BLANK</v>
      </c>
    </row>
    <row r="48" ht="33" customHeight="1" spans="1:47">
      <c r="A48" s="55" t="s">
        <v>365</v>
      </c>
      <c r="B48" s="55"/>
      <c r="C48" s="22" t="s">
        <v>366</v>
      </c>
      <c r="D48" s="22"/>
      <c r="E48" s="22"/>
      <c r="F48" s="22"/>
      <c r="G48" s="22"/>
      <c r="H48" s="22"/>
      <c r="I48" s="60"/>
      <c r="J48" s="61"/>
      <c r="K48" s="8" t="str">
        <f t="shared" si="0"/>
        <v>BLANK</v>
      </c>
      <c r="AK48" s="55" t="s">
        <v>367</v>
      </c>
      <c r="AL48" s="55"/>
      <c r="AM48" s="55"/>
      <c r="AN48" s="55"/>
      <c r="AO48" s="55"/>
      <c r="AP48" s="55"/>
      <c r="AQ48" s="55"/>
      <c r="AR48" s="55"/>
      <c r="AS48" s="55"/>
      <c r="AT48" s="28"/>
      <c r="AU48" s="6" t="str">
        <f>IF(ISBLANK(AT48),IncompleteText,IF(AT48,OKText,ErrorText))</f>
        <v>BLANK</v>
      </c>
    </row>
    <row r="49" spans="1:35">
      <c r="A49" s="5" t="s">
        <v>368</v>
      </c>
      <c r="B49" s="5"/>
      <c r="C49" s="5" t="s">
        <v>369</v>
      </c>
      <c r="D49" s="5"/>
      <c r="E49" s="5"/>
      <c r="F49" s="5"/>
      <c r="G49" s="5"/>
      <c r="H49" s="5"/>
      <c r="I49" s="17"/>
      <c r="J49" s="28"/>
      <c r="K49" s="6" t="str">
        <f t="shared" si="0"/>
        <v>BLANK</v>
      </c>
      <c r="Y49" s="7" t="s">
        <v>370</v>
      </c>
      <c r="Z49" s="7"/>
      <c r="AA49" s="7"/>
      <c r="AB49" s="7"/>
      <c r="AC49" s="7"/>
      <c r="AD49" s="7"/>
      <c r="AE49" s="7"/>
      <c r="AF49" s="7"/>
      <c r="AG49" s="7"/>
      <c r="AH49" s="7"/>
      <c r="AI49" s="57" t="str">
        <f>IF(COUNTIF(AI51:AI52,"="&amp;IncompleteText),IncompleteText,IF(COUNTIF(AI51:AI52,"="&amp;ErrorText),ErrorText,OKText))</f>
        <v>BLANK</v>
      </c>
    </row>
    <row r="50" spans="1:59">
      <c r="A50" s="5" t="s">
        <v>371</v>
      </c>
      <c r="B50" s="5"/>
      <c r="C50" s="5" t="s">
        <v>372</v>
      </c>
      <c r="D50" s="5"/>
      <c r="E50" s="5"/>
      <c r="F50" s="5"/>
      <c r="G50" s="5"/>
      <c r="H50" s="5"/>
      <c r="I50" s="17"/>
      <c r="J50" s="28"/>
      <c r="K50" s="6" t="str">
        <f t="shared" si="0"/>
        <v>BLANK</v>
      </c>
      <c r="Y50" s="68" t="s">
        <v>373</v>
      </c>
      <c r="Z50" s="36"/>
      <c r="AA50" s="36"/>
      <c r="AB50" s="36"/>
      <c r="AC50" s="36"/>
      <c r="AD50" s="36"/>
      <c r="AE50" s="36"/>
      <c r="AF50" s="36"/>
      <c r="AG50" s="36"/>
      <c r="AH50" s="36"/>
      <c r="AI50" s="8"/>
      <c r="AK50" s="14" t="s">
        <v>374</v>
      </c>
      <c r="AL50" s="12"/>
      <c r="AM50" s="12"/>
      <c r="AN50" s="12"/>
      <c r="AO50" s="12"/>
      <c r="AP50" s="12"/>
      <c r="AQ50" s="12"/>
      <c r="AR50" s="12"/>
      <c r="AS50" s="12"/>
      <c r="AT50" s="12"/>
      <c r="AU50" s="12"/>
      <c r="AW50" s="14" t="s">
        <v>375</v>
      </c>
      <c r="AX50" s="12"/>
      <c r="AY50" s="12"/>
      <c r="AZ50" s="12"/>
      <c r="BA50" s="12"/>
      <c r="BB50" s="12"/>
      <c r="BC50" s="12"/>
      <c r="BD50" s="12"/>
      <c r="BE50" s="12"/>
      <c r="BF50" s="12"/>
      <c r="BG50" s="12"/>
    </row>
    <row r="51" spans="1:59">
      <c r="A51" s="5"/>
      <c r="B51" s="5"/>
      <c r="C51" s="5" t="s">
        <v>376</v>
      </c>
      <c r="D51" s="5"/>
      <c r="E51" s="5"/>
      <c r="F51" s="5"/>
      <c r="G51" s="5"/>
      <c r="H51" s="5"/>
      <c r="I51" s="17"/>
      <c r="J51" s="28"/>
      <c r="K51" s="6" t="str">
        <f t="shared" si="0"/>
        <v>BLANK</v>
      </c>
      <c r="Y51" s="5" t="s">
        <v>377</v>
      </c>
      <c r="Z51" s="5"/>
      <c r="AA51" s="5"/>
      <c r="AB51" s="5"/>
      <c r="AC51" s="5"/>
      <c r="AD51" s="5"/>
      <c r="AE51" s="5"/>
      <c r="AF51" s="5"/>
      <c r="AG51" s="17"/>
      <c r="AH51" s="28"/>
      <c r="AI51" s="6" t="str">
        <f>IF(ISBLANK(AH51),IncompleteText,IF(AH51,OKText,ErrorText))</f>
        <v>BLANK</v>
      </c>
      <c r="AK51" s="12"/>
      <c r="AL51" s="12"/>
      <c r="AM51" s="12"/>
      <c r="AN51" s="12"/>
      <c r="AO51" s="12"/>
      <c r="AP51" s="12"/>
      <c r="AQ51" s="12"/>
      <c r="AR51" s="12"/>
      <c r="AS51" s="12"/>
      <c r="AT51" s="12"/>
      <c r="AU51" s="12"/>
      <c r="AW51" s="12"/>
      <c r="AX51" s="12"/>
      <c r="AY51" s="12"/>
      <c r="AZ51" s="12"/>
      <c r="BA51" s="12"/>
      <c r="BB51" s="12"/>
      <c r="BC51" s="12"/>
      <c r="BD51" s="12"/>
      <c r="BE51" s="12"/>
      <c r="BF51" s="12"/>
      <c r="BG51" s="12"/>
    </row>
    <row r="52" spans="1:59">
      <c r="A52" s="5"/>
      <c r="B52" s="5"/>
      <c r="C52" s="5" t="s">
        <v>378</v>
      </c>
      <c r="D52" s="5"/>
      <c r="E52" s="5"/>
      <c r="F52" s="5"/>
      <c r="G52" s="5"/>
      <c r="H52" s="5"/>
      <c r="I52" s="17"/>
      <c r="J52" s="28"/>
      <c r="K52" s="6" t="str">
        <f t="shared" si="0"/>
        <v>BLANK</v>
      </c>
      <c r="Y52" s="5" t="s">
        <v>379</v>
      </c>
      <c r="Z52" s="5"/>
      <c r="AA52" s="5"/>
      <c r="AB52" s="5"/>
      <c r="AC52" s="5"/>
      <c r="AD52" s="5"/>
      <c r="AE52" s="5"/>
      <c r="AF52" s="5"/>
      <c r="AG52" s="17"/>
      <c r="AH52" s="28"/>
      <c r="AI52" s="6" t="str">
        <f>IF(ISBLANK(AH52),IncompleteText,IF(AH52,OKText,ErrorText))</f>
        <v>BLANK</v>
      </c>
      <c r="AK52" s="12"/>
      <c r="AL52" s="12"/>
      <c r="AM52" s="12"/>
      <c r="AN52" s="12"/>
      <c r="AO52" s="12"/>
      <c r="AP52" s="12"/>
      <c r="AQ52" s="12"/>
      <c r="AR52" s="12"/>
      <c r="AS52" s="12"/>
      <c r="AT52" s="12"/>
      <c r="AU52" s="12"/>
      <c r="AW52" s="12"/>
      <c r="AX52" s="12"/>
      <c r="AY52" s="12"/>
      <c r="AZ52" s="12"/>
      <c r="BA52" s="12"/>
      <c r="BB52" s="12"/>
      <c r="BC52" s="12"/>
      <c r="BD52" s="12"/>
      <c r="BE52" s="12"/>
      <c r="BF52" s="12"/>
      <c r="BG52" s="12"/>
    </row>
    <row r="53" spans="1:59">
      <c r="A53" s="5" t="s">
        <v>380</v>
      </c>
      <c r="B53" s="5"/>
      <c r="C53" s="5" t="s">
        <v>381</v>
      </c>
      <c r="D53" s="5"/>
      <c r="E53" s="5"/>
      <c r="F53" s="5"/>
      <c r="G53" s="5"/>
      <c r="H53" s="5"/>
      <c r="I53" s="17"/>
      <c r="J53" s="28"/>
      <c r="K53" s="6" t="str">
        <f t="shared" si="0"/>
        <v>BLANK</v>
      </c>
      <c r="AK53" s="12"/>
      <c r="AL53" s="12"/>
      <c r="AM53" s="12"/>
      <c r="AN53" s="12"/>
      <c r="AO53" s="12"/>
      <c r="AP53" s="12"/>
      <c r="AQ53" s="12"/>
      <c r="AR53" s="12"/>
      <c r="AS53" s="12"/>
      <c r="AT53" s="12"/>
      <c r="AU53" s="12"/>
      <c r="AW53" s="12"/>
      <c r="AX53" s="12"/>
      <c r="AY53" s="12"/>
      <c r="AZ53" s="12"/>
      <c r="BA53" s="12"/>
      <c r="BB53" s="12"/>
      <c r="BC53" s="12"/>
      <c r="BD53" s="12"/>
      <c r="BE53" s="12"/>
      <c r="BF53" s="12"/>
      <c r="BG53" s="12"/>
    </row>
    <row r="54" spans="1:59">
      <c r="A54" s="55" t="s">
        <v>382</v>
      </c>
      <c r="B54" s="55"/>
      <c r="C54" s="5" t="s">
        <v>383</v>
      </c>
      <c r="D54" s="5"/>
      <c r="E54" s="5"/>
      <c r="F54" s="5"/>
      <c r="G54" s="5"/>
      <c r="H54" s="5"/>
      <c r="I54" s="17"/>
      <c r="J54" s="28"/>
      <c r="K54" s="6" t="str">
        <f t="shared" si="0"/>
        <v>BLANK</v>
      </c>
      <c r="AK54" s="12"/>
      <c r="AL54" s="12"/>
      <c r="AM54" s="12"/>
      <c r="AN54" s="12"/>
      <c r="AO54" s="12"/>
      <c r="AP54" s="12"/>
      <c r="AQ54" s="12"/>
      <c r="AR54" s="12"/>
      <c r="AS54" s="12"/>
      <c r="AT54" s="12"/>
      <c r="AU54" s="12"/>
      <c r="AW54" s="12"/>
      <c r="AX54" s="12"/>
      <c r="AY54" s="12"/>
      <c r="AZ54" s="12"/>
      <c r="BA54" s="12"/>
      <c r="BB54" s="12"/>
      <c r="BC54" s="12"/>
      <c r="BD54" s="12"/>
      <c r="BE54" s="12"/>
      <c r="BF54" s="12"/>
      <c r="BG54" s="12"/>
    </row>
    <row r="55" spans="1:59">
      <c r="A55" s="55"/>
      <c r="B55" s="55"/>
      <c r="C55" s="5" t="s">
        <v>384</v>
      </c>
      <c r="D55" s="5"/>
      <c r="E55" s="5"/>
      <c r="F55" s="5"/>
      <c r="G55" s="5"/>
      <c r="H55" s="5"/>
      <c r="I55" s="17"/>
      <c r="J55" s="28"/>
      <c r="K55" s="6" t="str">
        <f t="shared" si="0"/>
        <v>BLANK</v>
      </c>
      <c r="Y55" s="7" t="s">
        <v>385</v>
      </c>
      <c r="Z55" s="7"/>
      <c r="AA55" s="7"/>
      <c r="AB55" s="7"/>
      <c r="AC55" s="7"/>
      <c r="AD55" s="7"/>
      <c r="AE55" s="7"/>
      <c r="AF55" s="7"/>
      <c r="AG55" s="7"/>
      <c r="AH55" s="7"/>
      <c r="AI55" s="57" t="str">
        <f>IF(COUNTIF(AI57:AI58,"="&amp;IncompleteText),IncompleteText,IF(COUNTIF(AI57:AI58,"="&amp;ErrorText),ErrorText,OKText))</f>
        <v>BLANK</v>
      </c>
      <c r="AK55" s="12"/>
      <c r="AL55" s="12"/>
      <c r="AM55" s="12"/>
      <c r="AN55" s="12"/>
      <c r="AO55" s="12"/>
      <c r="AP55" s="12"/>
      <c r="AQ55" s="12"/>
      <c r="AR55" s="12"/>
      <c r="AS55" s="12"/>
      <c r="AT55" s="12"/>
      <c r="AU55" s="12"/>
      <c r="AW55" s="12"/>
      <c r="AX55" s="12"/>
      <c r="AY55" s="12"/>
      <c r="AZ55" s="12"/>
      <c r="BA55" s="12"/>
      <c r="BB55" s="12"/>
      <c r="BC55" s="12"/>
      <c r="BD55" s="12"/>
      <c r="BE55" s="12"/>
      <c r="BF55" s="12"/>
      <c r="BG55" s="12"/>
    </row>
    <row r="56" spans="1:59">
      <c r="A56" s="55"/>
      <c r="B56" s="55"/>
      <c r="C56" s="5" t="s">
        <v>386</v>
      </c>
      <c r="D56" s="5"/>
      <c r="E56" s="5"/>
      <c r="F56" s="5"/>
      <c r="G56" s="5"/>
      <c r="H56" s="5"/>
      <c r="I56" s="17"/>
      <c r="J56" s="28"/>
      <c r="K56" s="6" t="str">
        <f t="shared" si="0"/>
        <v>BLANK</v>
      </c>
      <c r="Y56" s="68" t="s">
        <v>387</v>
      </c>
      <c r="Z56" s="36"/>
      <c r="AA56" s="36"/>
      <c r="AB56" s="36"/>
      <c r="AC56" s="36"/>
      <c r="AD56" s="36"/>
      <c r="AE56" s="36"/>
      <c r="AF56" s="36"/>
      <c r="AG56" s="36"/>
      <c r="AH56" s="36"/>
      <c r="AI56" s="8"/>
      <c r="AK56" s="12"/>
      <c r="AL56" s="12"/>
      <c r="AM56" s="12"/>
      <c r="AN56" s="12"/>
      <c r="AO56" s="12"/>
      <c r="AP56" s="12"/>
      <c r="AQ56" s="12"/>
      <c r="AR56" s="12"/>
      <c r="AS56" s="12"/>
      <c r="AT56" s="12"/>
      <c r="AU56" s="12"/>
      <c r="AW56" s="12"/>
      <c r="AX56" s="12"/>
      <c r="AY56" s="12"/>
      <c r="AZ56" s="12"/>
      <c r="BA56" s="12"/>
      <c r="BB56" s="12"/>
      <c r="BC56" s="12"/>
      <c r="BD56" s="12"/>
      <c r="BE56" s="12"/>
      <c r="BF56" s="12"/>
      <c r="BG56" s="12"/>
    </row>
    <row r="57" spans="1:59">
      <c r="A57" s="5" t="s">
        <v>388</v>
      </c>
      <c r="B57" s="5"/>
      <c r="C57" s="5" t="s">
        <v>389</v>
      </c>
      <c r="D57" s="5"/>
      <c r="E57" s="5"/>
      <c r="F57" s="5"/>
      <c r="G57" s="5"/>
      <c r="H57" s="5"/>
      <c r="I57" s="17"/>
      <c r="J57" s="28"/>
      <c r="K57" s="6" t="str">
        <f t="shared" si="0"/>
        <v>BLANK</v>
      </c>
      <c r="Y57" s="69" t="s">
        <v>390</v>
      </c>
      <c r="Z57" s="69"/>
      <c r="AA57" s="69"/>
      <c r="AB57" s="69"/>
      <c r="AC57" s="69"/>
      <c r="AD57" s="69"/>
      <c r="AE57" s="69"/>
      <c r="AF57" s="69"/>
      <c r="AG57" s="44" t="s">
        <v>391</v>
      </c>
      <c r="AH57" s="44" t="s">
        <v>392</v>
      </c>
      <c r="AI57" s="8"/>
      <c r="AK57" s="12"/>
      <c r="AL57" s="12"/>
      <c r="AM57" s="12"/>
      <c r="AN57" s="12"/>
      <c r="AO57" s="12"/>
      <c r="AP57" s="12"/>
      <c r="AQ57" s="12"/>
      <c r="AR57" s="12"/>
      <c r="AS57" s="12"/>
      <c r="AT57" s="12"/>
      <c r="AU57" s="12"/>
      <c r="AW57" s="12"/>
      <c r="AX57" s="12"/>
      <c r="AY57" s="12"/>
      <c r="AZ57" s="12"/>
      <c r="BA57" s="12"/>
      <c r="BB57" s="12"/>
      <c r="BC57" s="12"/>
      <c r="BD57" s="12"/>
      <c r="BE57" s="12"/>
      <c r="BF57" s="12"/>
      <c r="BG57" s="12"/>
    </row>
    <row r="58" spans="1:59">
      <c r="A58" s="5"/>
      <c r="B58" s="5"/>
      <c r="C58" s="5" t="s">
        <v>393</v>
      </c>
      <c r="D58" s="5"/>
      <c r="E58" s="5"/>
      <c r="F58" s="5"/>
      <c r="G58" s="5"/>
      <c r="H58" s="5"/>
      <c r="I58" s="17"/>
      <c r="J58" s="28"/>
      <c r="K58" s="6" t="str">
        <f t="shared" si="0"/>
        <v>BLANK</v>
      </c>
      <c r="Y58" s="5" t="s">
        <v>394</v>
      </c>
      <c r="Z58" s="5"/>
      <c r="AA58" s="5"/>
      <c r="AB58" s="5"/>
      <c r="AC58" s="5"/>
      <c r="AD58" s="5"/>
      <c r="AE58" s="5"/>
      <c r="AF58" s="17"/>
      <c r="AG58" s="28"/>
      <c r="AH58" s="28"/>
      <c r="AI58" s="6" t="str">
        <f>IF(OR(ISBLANK(AG58),ISBLANK(AH58)),IncompleteText,IF(AND(AH58="熄灭 OFF",AG58="熄灭 OFF"),OKText,ErrorText))</f>
        <v>BLANK</v>
      </c>
      <c r="AK58" s="12"/>
      <c r="AL58" s="12"/>
      <c r="AM58" s="12"/>
      <c r="AN58" s="12"/>
      <c r="AO58" s="12"/>
      <c r="AP58" s="12"/>
      <c r="AQ58" s="12"/>
      <c r="AR58" s="12"/>
      <c r="AS58" s="12"/>
      <c r="AT58" s="12"/>
      <c r="AU58" s="12"/>
      <c r="AW58" s="12"/>
      <c r="AX58" s="12"/>
      <c r="AY58" s="12"/>
      <c r="AZ58" s="12"/>
      <c r="BA58" s="12"/>
      <c r="BB58" s="12"/>
      <c r="BC58" s="12"/>
      <c r="BD58" s="12"/>
      <c r="BE58" s="12"/>
      <c r="BF58" s="12"/>
      <c r="BG58" s="12"/>
    </row>
    <row r="59" spans="1:59">
      <c r="A59" s="5"/>
      <c r="B59" s="5"/>
      <c r="C59" s="5" t="s">
        <v>395</v>
      </c>
      <c r="D59" s="5"/>
      <c r="E59" s="5"/>
      <c r="F59" s="5"/>
      <c r="G59" s="5"/>
      <c r="H59" s="5"/>
      <c r="I59" s="17"/>
      <c r="J59" s="28"/>
      <c r="K59" s="6" t="str">
        <f t="shared" si="0"/>
        <v>BLANK</v>
      </c>
      <c r="Y59" s="5" t="s">
        <v>396</v>
      </c>
      <c r="Z59" s="5"/>
      <c r="AA59" s="5"/>
      <c r="AB59" s="5"/>
      <c r="AC59" s="5"/>
      <c r="AD59" s="5"/>
      <c r="AE59" s="5"/>
      <c r="AF59" s="17"/>
      <c r="AG59" s="28"/>
      <c r="AH59" s="28"/>
      <c r="AI59" s="6" t="str">
        <f>IF(OR(ISBLANK(AG59),ISBLANK(AH59)),IncompleteText,IF(AND(AG59="常亮 ON",AH59="熄灭 OFF"),OKText,ErrorText))</f>
        <v>BLANK</v>
      </c>
      <c r="AK59" s="12"/>
      <c r="AL59" s="12"/>
      <c r="AM59" s="12"/>
      <c r="AN59" s="12"/>
      <c r="AO59" s="12"/>
      <c r="AP59" s="12"/>
      <c r="AQ59" s="12"/>
      <c r="AR59" s="12"/>
      <c r="AS59" s="12"/>
      <c r="AT59" s="12"/>
      <c r="AU59" s="12"/>
      <c r="AW59" s="12"/>
      <c r="AX59" s="12"/>
      <c r="AY59" s="12"/>
      <c r="AZ59" s="12"/>
      <c r="BA59" s="12"/>
      <c r="BB59" s="12"/>
      <c r="BC59" s="12"/>
      <c r="BD59" s="12"/>
      <c r="BE59" s="12"/>
      <c r="BF59" s="12"/>
      <c r="BG59" s="12"/>
    </row>
    <row r="60" s="50" customFormat="1" ht="42" customHeight="1" spans="1:59">
      <c r="A60" s="55"/>
      <c r="B60" s="55"/>
      <c r="C60" s="55" t="s">
        <v>397</v>
      </c>
      <c r="D60" s="55"/>
      <c r="E60" s="55"/>
      <c r="F60" s="55"/>
      <c r="G60" s="55"/>
      <c r="H60" s="55"/>
      <c r="I60" s="62"/>
      <c r="J60" s="61"/>
      <c r="K60" s="8" t="str">
        <f t="shared" si="0"/>
        <v>BLANK</v>
      </c>
      <c r="Y60" s="22" t="s">
        <v>398</v>
      </c>
      <c r="Z60" s="22"/>
      <c r="AA60" s="22"/>
      <c r="AB60" s="22"/>
      <c r="AC60" s="22"/>
      <c r="AD60" s="22"/>
      <c r="AE60" s="22"/>
      <c r="AF60" s="60"/>
      <c r="AG60" s="61"/>
      <c r="AH60" s="61"/>
      <c r="AI60" s="8" t="str">
        <f>IF(OR(ISBLANK(AG60),ISBLANK(AH60)),IncompleteText,IF(AND(AG60="常亮 ON",AH60="熄灭 OFF"),OKText,ErrorText))</f>
        <v>BLANK</v>
      </c>
      <c r="AK60" s="12"/>
      <c r="AL60" s="12"/>
      <c r="AM60" s="12"/>
      <c r="AN60" s="12"/>
      <c r="AO60" s="12"/>
      <c r="AP60" s="12"/>
      <c r="AQ60" s="12"/>
      <c r="AR60" s="12"/>
      <c r="AS60" s="12"/>
      <c r="AT60" s="12"/>
      <c r="AU60" s="12"/>
      <c r="AW60" s="12"/>
      <c r="AX60" s="12"/>
      <c r="AY60" s="12"/>
      <c r="AZ60" s="12"/>
      <c r="BA60" s="12"/>
      <c r="BB60" s="12"/>
      <c r="BC60" s="12"/>
      <c r="BD60" s="12"/>
      <c r="BE60" s="12"/>
      <c r="BF60" s="12"/>
      <c r="BG60" s="12"/>
    </row>
    <row r="61" s="50" customFormat="1" ht="33" customHeight="1" spans="1:59">
      <c r="A61" s="55" t="s">
        <v>399</v>
      </c>
      <c r="B61" s="55"/>
      <c r="C61" s="55" t="s">
        <v>400</v>
      </c>
      <c r="D61" s="55"/>
      <c r="E61" s="55"/>
      <c r="F61" s="55"/>
      <c r="G61" s="55"/>
      <c r="H61" s="55"/>
      <c r="I61" s="62"/>
      <c r="J61" s="61"/>
      <c r="K61" s="8" t="str">
        <f t="shared" si="0"/>
        <v>BLANK</v>
      </c>
      <c r="Y61" s="22" t="s">
        <v>401</v>
      </c>
      <c r="Z61" s="22"/>
      <c r="AA61" s="22"/>
      <c r="AB61" s="22"/>
      <c r="AC61" s="22"/>
      <c r="AD61" s="22"/>
      <c r="AE61" s="22"/>
      <c r="AF61" s="60"/>
      <c r="AG61" s="61"/>
      <c r="AH61" s="61"/>
      <c r="AI61" s="8" t="str">
        <f>IF(OR(ISBLANK(AG61),ISBLANK(AH61)),IncompleteText,IF(AND(AG61="常亮 ON",AH61="闪烁 Flashing"),OKText,ErrorText))</f>
        <v>BLANK</v>
      </c>
      <c r="AK61" s="12"/>
      <c r="AL61" s="12"/>
      <c r="AM61" s="12"/>
      <c r="AN61" s="12"/>
      <c r="AO61" s="12"/>
      <c r="AP61" s="12"/>
      <c r="AQ61" s="12"/>
      <c r="AR61" s="12"/>
      <c r="AS61" s="12"/>
      <c r="AT61" s="12"/>
      <c r="AU61" s="12"/>
      <c r="AW61" s="12"/>
      <c r="AX61" s="12"/>
      <c r="AY61" s="12"/>
      <c r="AZ61" s="12"/>
      <c r="BA61" s="12"/>
      <c r="BB61" s="12"/>
      <c r="BC61" s="12"/>
      <c r="BD61" s="12"/>
      <c r="BE61" s="12"/>
      <c r="BF61" s="12"/>
      <c r="BG61" s="12"/>
    </row>
    <row r="62" spans="1:59">
      <c r="A62" s="5" t="s">
        <v>362</v>
      </c>
      <c r="B62" s="5"/>
      <c r="C62" s="5" t="s">
        <v>402</v>
      </c>
      <c r="D62" s="5"/>
      <c r="E62" s="5"/>
      <c r="F62" s="5"/>
      <c r="G62" s="5"/>
      <c r="H62" s="5"/>
      <c r="I62" s="17"/>
      <c r="J62" s="28"/>
      <c r="K62" s="6" t="str">
        <f t="shared" si="0"/>
        <v>BLANK</v>
      </c>
      <c r="Y62" s="5" t="s">
        <v>403</v>
      </c>
      <c r="Z62" s="5"/>
      <c r="AA62" s="5"/>
      <c r="AB62" s="5"/>
      <c r="AC62" s="5"/>
      <c r="AD62" s="5"/>
      <c r="AE62" s="5"/>
      <c r="AF62" s="17"/>
      <c r="AG62" s="28"/>
      <c r="AH62" s="28"/>
      <c r="AI62" s="6" t="str">
        <f>IF(OR(ISBLANK(AG62),ISBLANK(AH62)),IncompleteText,IF(AND(AH62="熄灭 OFF",AG62="熄灭 OFF"),OKText,ErrorText))</f>
        <v>BLANK</v>
      </c>
      <c r="AK62" s="12"/>
      <c r="AL62" s="12"/>
      <c r="AM62" s="12"/>
      <c r="AN62" s="12"/>
      <c r="AO62" s="12"/>
      <c r="AP62" s="12"/>
      <c r="AQ62" s="12"/>
      <c r="AR62" s="12"/>
      <c r="AS62" s="12"/>
      <c r="AT62" s="12"/>
      <c r="AU62" s="12"/>
      <c r="AW62" s="12"/>
      <c r="AX62" s="12"/>
      <c r="AY62" s="12"/>
      <c r="AZ62" s="12"/>
      <c r="BA62" s="12"/>
      <c r="BB62" s="12"/>
      <c r="BC62" s="12"/>
      <c r="BD62" s="12"/>
      <c r="BE62" s="12"/>
      <c r="BF62" s="12"/>
      <c r="BG62" s="12"/>
    </row>
    <row r="63" ht="35.25" customHeight="1" spans="1:59">
      <c r="A63" s="7" t="s">
        <v>152</v>
      </c>
      <c r="B63" s="7"/>
      <c r="C63" s="7"/>
      <c r="D63" s="7"/>
      <c r="E63" s="7"/>
      <c r="F63" s="7"/>
      <c r="G63" s="7"/>
      <c r="H63" s="7"/>
      <c r="I63" s="7"/>
      <c r="J63" s="63" t="s">
        <v>224</v>
      </c>
      <c r="K63" s="64"/>
      <c r="Y63" s="33" t="s">
        <v>404</v>
      </c>
      <c r="Z63" s="33"/>
      <c r="AA63" s="33"/>
      <c r="AB63" s="33"/>
      <c r="AC63" s="33"/>
      <c r="AD63" s="33"/>
      <c r="AE63" s="33"/>
      <c r="AF63" s="35"/>
      <c r="AG63" s="28"/>
      <c r="AH63" s="28"/>
      <c r="AI63" s="6" t="str">
        <f>IF(OR(ISBLANK(AG63),ISBLANK(AH63)),IncompleteText,IF(AND(AH63="熄灭 OFF",AG63="熄灭 OFF"),OKText,ErrorText))</f>
        <v>BLANK</v>
      </c>
      <c r="AK63" s="12"/>
      <c r="AL63" s="12"/>
      <c r="AM63" s="12"/>
      <c r="AN63" s="12"/>
      <c r="AO63" s="12"/>
      <c r="AP63" s="12"/>
      <c r="AQ63" s="12"/>
      <c r="AR63" s="12"/>
      <c r="AS63" s="12"/>
      <c r="AT63" s="12"/>
      <c r="AU63" s="12"/>
      <c r="AW63" s="12"/>
      <c r="AX63" s="12"/>
      <c r="AY63" s="12"/>
      <c r="AZ63" s="12"/>
      <c r="BA63" s="12"/>
      <c r="BB63" s="12"/>
      <c r="BC63" s="12"/>
      <c r="BD63" s="12"/>
      <c r="BE63" s="12"/>
      <c r="BF63" s="12"/>
      <c r="BG63" s="12"/>
    </row>
    <row r="64" spans="1:59">
      <c r="A64" s="29"/>
      <c r="B64" s="30"/>
      <c r="C64" s="30"/>
      <c r="D64" s="30"/>
      <c r="E64" s="30"/>
      <c r="F64" s="30"/>
      <c r="G64" s="30"/>
      <c r="H64" s="30"/>
      <c r="I64" s="30"/>
      <c r="J64" s="65" t="s">
        <v>405</v>
      </c>
      <c r="K64" s="66"/>
      <c r="AK64" s="12"/>
      <c r="AL64" s="12"/>
      <c r="AM64" s="12"/>
      <c r="AN64" s="12"/>
      <c r="AO64" s="12"/>
      <c r="AP64" s="12"/>
      <c r="AQ64" s="12"/>
      <c r="AR64" s="12"/>
      <c r="AS64" s="12"/>
      <c r="AT64" s="12"/>
      <c r="AU64" s="12"/>
      <c r="AW64" s="12"/>
      <c r="AX64" s="12"/>
      <c r="AY64" s="12"/>
      <c r="AZ64" s="12"/>
      <c r="BA64" s="12"/>
      <c r="BB64" s="12"/>
      <c r="BC64" s="12"/>
      <c r="BD64" s="12"/>
      <c r="BE64" s="12"/>
      <c r="BF64" s="12"/>
      <c r="BG64" s="12"/>
    </row>
    <row r="65" spans="1:59">
      <c r="A65" s="29"/>
      <c r="B65" s="30"/>
      <c r="C65" s="30"/>
      <c r="D65" s="30"/>
      <c r="E65" s="30"/>
      <c r="F65" s="30"/>
      <c r="G65" s="30"/>
      <c r="H65" s="30"/>
      <c r="I65" s="30"/>
      <c r="J65" s="66"/>
      <c r="K65" s="66"/>
      <c r="AK65" s="12"/>
      <c r="AL65" s="12"/>
      <c r="AM65" s="12"/>
      <c r="AN65" s="12"/>
      <c r="AO65" s="12"/>
      <c r="AP65" s="12"/>
      <c r="AQ65" s="12"/>
      <c r="AR65" s="12"/>
      <c r="AS65" s="12"/>
      <c r="AT65" s="12"/>
      <c r="AU65" s="12"/>
      <c r="AW65" s="12"/>
      <c r="AX65" s="12"/>
      <c r="AY65" s="12"/>
      <c r="AZ65" s="12"/>
      <c r="BA65" s="12"/>
      <c r="BB65" s="12"/>
      <c r="BC65" s="12"/>
      <c r="BD65" s="12"/>
      <c r="BE65" s="12"/>
      <c r="BF65" s="12"/>
      <c r="BG65" s="12"/>
    </row>
    <row r="66" spans="1:59">
      <c r="A66" s="29"/>
      <c r="B66" s="30"/>
      <c r="C66" s="30"/>
      <c r="D66" s="30"/>
      <c r="E66" s="30"/>
      <c r="F66" s="30"/>
      <c r="G66" s="30"/>
      <c r="H66" s="30"/>
      <c r="I66" s="30"/>
      <c r="J66" s="66"/>
      <c r="K66" s="66"/>
      <c r="AK66" s="12"/>
      <c r="AL66" s="12"/>
      <c r="AM66" s="12"/>
      <c r="AN66" s="12"/>
      <c r="AO66" s="12"/>
      <c r="AP66" s="12"/>
      <c r="AQ66" s="12"/>
      <c r="AR66" s="12"/>
      <c r="AS66" s="12"/>
      <c r="AT66" s="12"/>
      <c r="AU66" s="12"/>
      <c r="AW66" s="12"/>
      <c r="AX66" s="12"/>
      <c r="AY66" s="12"/>
      <c r="AZ66" s="12"/>
      <c r="BA66" s="12"/>
      <c r="BB66" s="12"/>
      <c r="BC66" s="12"/>
      <c r="BD66" s="12"/>
      <c r="BE66" s="12"/>
      <c r="BF66" s="12"/>
      <c r="BG66" s="12"/>
    </row>
    <row r="67" spans="1:59">
      <c r="A67" s="29"/>
      <c r="B67" s="30"/>
      <c r="C67" s="30"/>
      <c r="D67" s="30"/>
      <c r="E67" s="30"/>
      <c r="F67" s="30"/>
      <c r="G67" s="30"/>
      <c r="H67" s="30"/>
      <c r="I67" s="30"/>
      <c r="J67" s="66"/>
      <c r="K67" s="66"/>
      <c r="AK67" s="12"/>
      <c r="AL67" s="12"/>
      <c r="AM67" s="12"/>
      <c r="AN67" s="12"/>
      <c r="AO67" s="12"/>
      <c r="AP67" s="12"/>
      <c r="AQ67" s="12"/>
      <c r="AR67" s="12"/>
      <c r="AS67" s="12"/>
      <c r="AT67" s="12"/>
      <c r="AU67" s="12"/>
      <c r="AW67" s="12"/>
      <c r="AX67" s="12"/>
      <c r="AY67" s="12"/>
      <c r="AZ67" s="12"/>
      <c r="BA67" s="12"/>
      <c r="BB67" s="12"/>
      <c r="BC67" s="12"/>
      <c r="BD67" s="12"/>
      <c r="BE67" s="12"/>
      <c r="BF67" s="12"/>
      <c r="BG67" s="12"/>
    </row>
    <row r="68" spans="37:59">
      <c r="AK68" s="12"/>
      <c r="AL68" s="12"/>
      <c r="AM68" s="12"/>
      <c r="AN68" s="12"/>
      <c r="AO68" s="12"/>
      <c r="AP68" s="12"/>
      <c r="AQ68" s="12"/>
      <c r="AR68" s="12"/>
      <c r="AS68" s="12"/>
      <c r="AT68" s="12"/>
      <c r="AU68" s="12"/>
      <c r="AW68" s="12"/>
      <c r="AX68" s="12"/>
      <c r="AY68" s="12"/>
      <c r="AZ68" s="12"/>
      <c r="BA68" s="12"/>
      <c r="BB68" s="12"/>
      <c r="BC68" s="12"/>
      <c r="BD68" s="12"/>
      <c r="BE68" s="12"/>
      <c r="BF68" s="12"/>
      <c r="BG68" s="12"/>
    </row>
    <row r="69" spans="1:59">
      <c r="A69" s="12" t="s">
        <v>406</v>
      </c>
      <c r="B69" s="12"/>
      <c r="C69" s="12"/>
      <c r="D69" s="12"/>
      <c r="E69" s="12"/>
      <c r="F69" s="12"/>
      <c r="G69" s="12"/>
      <c r="H69" s="12"/>
      <c r="I69" s="12"/>
      <c r="J69" s="12"/>
      <c r="K69" s="12"/>
      <c r="AK69" s="12"/>
      <c r="AL69" s="12"/>
      <c r="AM69" s="12"/>
      <c r="AN69" s="12"/>
      <c r="AO69" s="12"/>
      <c r="AP69" s="12"/>
      <c r="AQ69" s="12"/>
      <c r="AR69" s="12"/>
      <c r="AS69" s="12"/>
      <c r="AT69" s="12"/>
      <c r="AU69" s="12"/>
      <c r="AW69" s="12"/>
      <c r="AX69" s="12"/>
      <c r="AY69" s="12"/>
      <c r="AZ69" s="12"/>
      <c r="BA69" s="12"/>
      <c r="BB69" s="12"/>
      <c r="BC69" s="12"/>
      <c r="BD69" s="12"/>
      <c r="BE69" s="12"/>
      <c r="BF69" s="12"/>
      <c r="BG69" s="12"/>
    </row>
    <row r="70" spans="1:59">
      <c r="A70" s="12"/>
      <c r="B70" s="12"/>
      <c r="C70" s="12"/>
      <c r="D70" s="12"/>
      <c r="E70" s="12"/>
      <c r="F70" s="12"/>
      <c r="G70" s="12"/>
      <c r="H70" s="12"/>
      <c r="I70" s="12"/>
      <c r="J70" s="12"/>
      <c r="K70" s="12"/>
      <c r="M70" s="12" t="s">
        <v>407</v>
      </c>
      <c r="N70" s="12"/>
      <c r="O70" s="12"/>
      <c r="P70" s="12"/>
      <c r="Q70" s="12"/>
      <c r="R70" s="12"/>
      <c r="S70" s="12"/>
      <c r="T70" s="12"/>
      <c r="U70" s="12"/>
      <c r="V70" s="12"/>
      <c r="W70" s="12"/>
      <c r="AK70" s="12"/>
      <c r="AL70" s="12"/>
      <c r="AM70" s="12"/>
      <c r="AN70" s="12"/>
      <c r="AO70" s="12"/>
      <c r="AP70" s="12"/>
      <c r="AQ70" s="12"/>
      <c r="AR70" s="12"/>
      <c r="AS70" s="12"/>
      <c r="AT70" s="12"/>
      <c r="AU70" s="12"/>
      <c r="AW70" s="12"/>
      <c r="AX70" s="12"/>
      <c r="AY70" s="12"/>
      <c r="AZ70" s="12"/>
      <c r="BA70" s="12"/>
      <c r="BB70" s="12"/>
      <c r="BC70" s="12"/>
      <c r="BD70" s="12"/>
      <c r="BE70" s="12"/>
      <c r="BF70" s="12"/>
      <c r="BG70" s="12"/>
    </row>
    <row r="71" spans="1:59">
      <c r="A71" s="12"/>
      <c r="B71" s="12"/>
      <c r="C71" s="12"/>
      <c r="D71" s="12"/>
      <c r="E71" s="12"/>
      <c r="F71" s="12"/>
      <c r="G71" s="12"/>
      <c r="H71" s="12"/>
      <c r="I71" s="12"/>
      <c r="J71" s="12"/>
      <c r="K71" s="12"/>
      <c r="M71" s="12"/>
      <c r="N71" s="12"/>
      <c r="O71" s="12"/>
      <c r="P71" s="12"/>
      <c r="Q71" s="12"/>
      <c r="R71" s="12"/>
      <c r="S71" s="12"/>
      <c r="T71" s="12"/>
      <c r="U71" s="12"/>
      <c r="V71" s="12"/>
      <c r="W71" s="12"/>
      <c r="AK71" s="12"/>
      <c r="AL71" s="12"/>
      <c r="AM71" s="12"/>
      <c r="AN71" s="12"/>
      <c r="AO71" s="12"/>
      <c r="AP71" s="12"/>
      <c r="AQ71" s="12"/>
      <c r="AR71" s="12"/>
      <c r="AS71" s="12"/>
      <c r="AT71" s="12"/>
      <c r="AU71" s="12"/>
      <c r="AW71" s="12"/>
      <c r="AX71" s="12"/>
      <c r="AY71" s="12"/>
      <c r="AZ71" s="12"/>
      <c r="BA71" s="12"/>
      <c r="BB71" s="12"/>
      <c r="BC71" s="12"/>
      <c r="BD71" s="12"/>
      <c r="BE71" s="12"/>
      <c r="BF71" s="12"/>
      <c r="BG71" s="12"/>
    </row>
    <row r="72" spans="1:59">
      <c r="A72" s="12"/>
      <c r="B72" s="12"/>
      <c r="C72" s="12"/>
      <c r="D72" s="12"/>
      <c r="E72" s="12"/>
      <c r="F72" s="12"/>
      <c r="G72" s="12"/>
      <c r="H72" s="12"/>
      <c r="I72" s="12"/>
      <c r="J72" s="12"/>
      <c r="K72" s="12"/>
      <c r="M72" s="12"/>
      <c r="N72" s="12"/>
      <c r="O72" s="12"/>
      <c r="P72" s="12"/>
      <c r="Q72" s="12"/>
      <c r="R72" s="12"/>
      <c r="S72" s="12"/>
      <c r="T72" s="12"/>
      <c r="U72" s="12"/>
      <c r="V72" s="12"/>
      <c r="W72" s="12"/>
      <c r="AK72" s="12"/>
      <c r="AL72" s="12"/>
      <c r="AM72" s="12"/>
      <c r="AN72" s="12"/>
      <c r="AO72" s="12"/>
      <c r="AP72" s="12"/>
      <c r="AQ72" s="12"/>
      <c r="AR72" s="12"/>
      <c r="AS72" s="12"/>
      <c r="AT72" s="12"/>
      <c r="AU72" s="12"/>
      <c r="AW72" s="12"/>
      <c r="AX72" s="12"/>
      <c r="AY72" s="12"/>
      <c r="AZ72" s="12"/>
      <c r="BA72" s="12"/>
      <c r="BB72" s="12"/>
      <c r="BC72" s="12"/>
      <c r="BD72" s="12"/>
      <c r="BE72" s="12"/>
      <c r="BF72" s="12"/>
      <c r="BG72" s="12"/>
    </row>
    <row r="73" spans="1:59">
      <c r="A73" s="12"/>
      <c r="B73" s="12"/>
      <c r="C73" s="12"/>
      <c r="D73" s="12"/>
      <c r="E73" s="12"/>
      <c r="F73" s="12"/>
      <c r="G73" s="12"/>
      <c r="H73" s="12"/>
      <c r="I73" s="12"/>
      <c r="J73" s="12"/>
      <c r="K73" s="12"/>
      <c r="M73" s="12"/>
      <c r="N73" s="12"/>
      <c r="O73" s="12"/>
      <c r="P73" s="12"/>
      <c r="Q73" s="12"/>
      <c r="R73" s="12"/>
      <c r="S73" s="12"/>
      <c r="T73" s="12"/>
      <c r="U73" s="12"/>
      <c r="V73" s="12"/>
      <c r="W73" s="12"/>
      <c r="AK73" s="12"/>
      <c r="AL73" s="12"/>
      <c r="AM73" s="12"/>
      <c r="AN73" s="12"/>
      <c r="AO73" s="12"/>
      <c r="AP73" s="12"/>
      <c r="AQ73" s="12"/>
      <c r="AR73" s="12"/>
      <c r="AS73" s="12"/>
      <c r="AT73" s="12"/>
      <c r="AU73" s="12"/>
      <c r="AW73" s="12"/>
      <c r="AX73" s="12"/>
      <c r="AY73" s="12"/>
      <c r="AZ73" s="12"/>
      <c r="BA73" s="12"/>
      <c r="BB73" s="12"/>
      <c r="BC73" s="12"/>
      <c r="BD73" s="12"/>
      <c r="BE73" s="12"/>
      <c r="BF73" s="12"/>
      <c r="BG73" s="12"/>
    </row>
    <row r="74" spans="1:59">
      <c r="A74" s="12"/>
      <c r="B74" s="12"/>
      <c r="C74" s="12"/>
      <c r="D74" s="12"/>
      <c r="E74" s="12"/>
      <c r="F74" s="12"/>
      <c r="G74" s="12"/>
      <c r="H74" s="12"/>
      <c r="I74" s="12"/>
      <c r="J74" s="12"/>
      <c r="K74" s="12"/>
      <c r="M74" s="12"/>
      <c r="N74" s="12"/>
      <c r="O74" s="12"/>
      <c r="P74" s="12"/>
      <c r="Q74" s="12"/>
      <c r="R74" s="12"/>
      <c r="S74" s="12"/>
      <c r="T74" s="12"/>
      <c r="U74" s="12"/>
      <c r="V74" s="12"/>
      <c r="W74" s="12"/>
      <c r="AK74" s="12"/>
      <c r="AL74" s="12"/>
      <c r="AM74" s="12"/>
      <c r="AN74" s="12"/>
      <c r="AO74" s="12"/>
      <c r="AP74" s="12"/>
      <c r="AQ74" s="12"/>
      <c r="AR74" s="12"/>
      <c r="AS74" s="12"/>
      <c r="AT74" s="12"/>
      <c r="AU74" s="12"/>
      <c r="AW74" s="12"/>
      <c r="AX74" s="12"/>
      <c r="AY74" s="12"/>
      <c r="AZ74" s="12"/>
      <c r="BA74" s="12"/>
      <c r="BB74" s="12"/>
      <c r="BC74" s="12"/>
      <c r="BD74" s="12"/>
      <c r="BE74" s="12"/>
      <c r="BF74" s="12"/>
      <c r="BG74" s="12"/>
    </row>
    <row r="75" spans="1:59">
      <c r="A75" s="12"/>
      <c r="B75" s="12"/>
      <c r="C75" s="12"/>
      <c r="D75" s="12"/>
      <c r="E75" s="12"/>
      <c r="F75" s="12"/>
      <c r="G75" s="12"/>
      <c r="H75" s="12"/>
      <c r="I75" s="12"/>
      <c r="J75" s="12"/>
      <c r="K75" s="12"/>
      <c r="M75" s="12"/>
      <c r="N75" s="12"/>
      <c r="O75" s="12"/>
      <c r="P75" s="12"/>
      <c r="Q75" s="12"/>
      <c r="R75" s="12"/>
      <c r="S75" s="12"/>
      <c r="T75" s="12"/>
      <c r="U75" s="12"/>
      <c r="V75" s="12"/>
      <c r="W75" s="12"/>
      <c r="AK75" s="12"/>
      <c r="AL75" s="12"/>
      <c r="AM75" s="12"/>
      <c r="AN75" s="12"/>
      <c r="AO75" s="12"/>
      <c r="AP75" s="12"/>
      <c r="AQ75" s="12"/>
      <c r="AR75" s="12"/>
      <c r="AS75" s="12"/>
      <c r="AT75" s="12"/>
      <c r="AU75" s="12"/>
      <c r="AW75" s="12"/>
      <c r="AX75" s="12"/>
      <c r="AY75" s="12"/>
      <c r="AZ75" s="12"/>
      <c r="BA75" s="12"/>
      <c r="BB75" s="12"/>
      <c r="BC75" s="12"/>
      <c r="BD75" s="12"/>
      <c r="BE75" s="12"/>
      <c r="BF75" s="12"/>
      <c r="BG75" s="12"/>
    </row>
    <row r="76" spans="1:59">
      <c r="A76" s="12"/>
      <c r="B76" s="12"/>
      <c r="C76" s="12"/>
      <c r="D76" s="12"/>
      <c r="E76" s="12"/>
      <c r="F76" s="12"/>
      <c r="G76" s="12"/>
      <c r="H76" s="12"/>
      <c r="I76" s="12"/>
      <c r="J76" s="12"/>
      <c r="K76" s="12"/>
      <c r="M76" s="12"/>
      <c r="N76" s="12"/>
      <c r="O76" s="12"/>
      <c r="P76" s="12"/>
      <c r="Q76" s="12"/>
      <c r="R76" s="12"/>
      <c r="S76" s="12"/>
      <c r="T76" s="12"/>
      <c r="U76" s="12"/>
      <c r="V76" s="12"/>
      <c r="W76" s="12"/>
      <c r="AK76" s="7" t="s">
        <v>408</v>
      </c>
      <c r="AL76" s="7"/>
      <c r="AM76" s="7"/>
      <c r="AN76" s="7"/>
      <c r="AO76" s="7"/>
      <c r="AP76" s="7"/>
      <c r="AQ76" s="7"/>
      <c r="AR76" s="7"/>
      <c r="AS76" s="7"/>
      <c r="AT76" s="7"/>
      <c r="AU76" s="57" t="str">
        <f>IF(COUNTIF(AU78:AU88,"="&amp;IncompleteText),IncompleteText,IF(COUNTIF(AU78:AU88,"="&amp;ErrorText),ErrorText,OKText))</f>
        <v>BLANK</v>
      </c>
      <c r="AW76" s="7" t="s">
        <v>409</v>
      </c>
      <c r="AX76" s="7"/>
      <c r="AY76" s="7"/>
      <c r="AZ76" s="7"/>
      <c r="BA76" s="7"/>
      <c r="BB76" s="7"/>
      <c r="BC76" s="7"/>
      <c r="BD76" s="7"/>
      <c r="BE76" s="7"/>
      <c r="BF76" s="7"/>
      <c r="BG76" s="57" t="str">
        <f>IF(COUNTIF(BG78:BG80,"="&amp;IncompleteText),IncompleteText,IF(COUNTIF(BG78:BG80,"="&amp;ErrorText),ErrorText,OKText))</f>
        <v>BLANK</v>
      </c>
    </row>
    <row r="77" spans="1:59">
      <c r="A77" s="12"/>
      <c r="B77" s="12"/>
      <c r="C77" s="12"/>
      <c r="D77" s="12"/>
      <c r="E77" s="12"/>
      <c r="F77" s="12"/>
      <c r="G77" s="12"/>
      <c r="H77" s="12"/>
      <c r="I77" s="12"/>
      <c r="J77" s="12"/>
      <c r="K77" s="12"/>
      <c r="M77" s="12"/>
      <c r="N77" s="12"/>
      <c r="O77" s="12"/>
      <c r="P77" s="12"/>
      <c r="Q77" s="12"/>
      <c r="R77" s="12"/>
      <c r="S77" s="12"/>
      <c r="T77" s="12"/>
      <c r="U77" s="12"/>
      <c r="V77" s="12"/>
      <c r="W77" s="12"/>
      <c r="AK77" s="36"/>
      <c r="AL77" s="36"/>
      <c r="AM77" s="36"/>
      <c r="AN77" s="36"/>
      <c r="AO77" s="36"/>
      <c r="AP77" s="36"/>
      <c r="AQ77" s="36"/>
      <c r="AR77" s="36"/>
      <c r="AS77" s="36"/>
      <c r="AT77" s="36"/>
      <c r="AU77" s="8"/>
      <c r="AW77" s="36"/>
      <c r="AX77" s="36"/>
      <c r="AY77" s="36"/>
      <c r="AZ77" s="36"/>
      <c r="BA77" s="36"/>
      <c r="BB77" s="36"/>
      <c r="BC77" s="36"/>
      <c r="BD77" s="36"/>
      <c r="BE77" s="36"/>
      <c r="BF77" s="36"/>
      <c r="BG77" s="8"/>
    </row>
    <row r="78" spans="1:59">
      <c r="A78" s="12"/>
      <c r="B78" s="12"/>
      <c r="C78" s="12"/>
      <c r="D78" s="12"/>
      <c r="E78" s="12"/>
      <c r="F78" s="12"/>
      <c r="G78" s="12"/>
      <c r="H78" s="12"/>
      <c r="I78" s="12"/>
      <c r="J78" s="12"/>
      <c r="K78" s="12"/>
      <c r="M78" s="12"/>
      <c r="N78" s="12"/>
      <c r="O78" s="12"/>
      <c r="P78" s="12"/>
      <c r="Q78" s="12"/>
      <c r="R78" s="12"/>
      <c r="S78" s="12"/>
      <c r="T78" s="12"/>
      <c r="U78" s="12"/>
      <c r="V78" s="12"/>
      <c r="W78" s="12"/>
      <c r="AK78" s="5" t="s">
        <v>410</v>
      </c>
      <c r="AL78" s="5"/>
      <c r="AM78" s="5"/>
      <c r="AN78" s="5"/>
      <c r="AO78" s="5"/>
      <c r="AP78" s="5"/>
      <c r="AQ78" s="5"/>
      <c r="AR78" s="5"/>
      <c r="AS78" s="17"/>
      <c r="AT78" s="28"/>
      <c r="AU78" s="6" t="str">
        <f>IF(ISBLANK(AT78),IncompleteText,OKText)</f>
        <v>BLANK</v>
      </c>
      <c r="AW78" s="5" t="s">
        <v>411</v>
      </c>
      <c r="AX78" s="5"/>
      <c r="AY78" s="5"/>
      <c r="AZ78" s="5"/>
      <c r="BA78" s="5"/>
      <c r="BB78" s="5"/>
      <c r="BC78" s="5"/>
      <c r="BD78" s="5"/>
      <c r="BE78" s="17"/>
      <c r="BF78" s="28"/>
      <c r="BG78" s="6" t="str">
        <f>IF(ISBLANK(BF78),IncompleteText,IF(BF78,OKText,ErrorText))</f>
        <v>BLANK</v>
      </c>
    </row>
    <row r="79" spans="1:59">
      <c r="A79" s="12"/>
      <c r="B79" s="12"/>
      <c r="C79" s="12"/>
      <c r="D79" s="12"/>
      <c r="E79" s="12"/>
      <c r="F79" s="12"/>
      <c r="G79" s="12"/>
      <c r="H79" s="12"/>
      <c r="I79" s="12"/>
      <c r="J79" s="12"/>
      <c r="K79" s="12"/>
      <c r="M79" s="12"/>
      <c r="N79" s="12"/>
      <c r="O79" s="12"/>
      <c r="P79" s="12"/>
      <c r="Q79" s="12"/>
      <c r="R79" s="12"/>
      <c r="S79" s="12"/>
      <c r="T79" s="12"/>
      <c r="U79" s="12"/>
      <c r="V79" s="12"/>
      <c r="W79" s="12"/>
      <c r="AK79" s="5" t="s">
        <v>412</v>
      </c>
      <c r="AL79" s="5"/>
      <c r="AM79" s="5"/>
      <c r="AN79" s="5"/>
      <c r="AO79" s="5"/>
      <c r="AP79" s="5"/>
      <c r="AQ79" s="5"/>
      <c r="AR79" s="5"/>
      <c r="AS79" s="17"/>
      <c r="AT79" s="28"/>
      <c r="AU79" s="6" t="str">
        <f>IF(ISBLANK(AT79),IncompleteText,OKText)</f>
        <v>BLANK</v>
      </c>
      <c r="AW79" s="87" t="s">
        <v>413</v>
      </c>
      <c r="AX79" s="5"/>
      <c r="AY79" s="5"/>
      <c r="AZ79" s="5"/>
      <c r="BA79" s="5"/>
      <c r="BB79" s="5"/>
      <c r="BC79" s="5"/>
      <c r="BD79" s="5"/>
      <c r="BE79" s="17"/>
      <c r="BF79" s="28"/>
      <c r="BG79" s="6" t="str">
        <f>IF(ISBLANK(BF79),IncompleteText,IF(BF79,OKText,ErrorText))</f>
        <v>BLANK</v>
      </c>
    </row>
    <row r="80" spans="1:59">
      <c r="A80" s="12"/>
      <c r="B80" s="12"/>
      <c r="C80" s="12"/>
      <c r="D80" s="12"/>
      <c r="E80" s="12"/>
      <c r="F80" s="12"/>
      <c r="G80" s="12"/>
      <c r="H80" s="12"/>
      <c r="I80" s="12"/>
      <c r="J80" s="12"/>
      <c r="K80" s="12"/>
      <c r="M80" s="12"/>
      <c r="N80" s="12"/>
      <c r="O80" s="12"/>
      <c r="P80" s="12"/>
      <c r="Q80" s="12"/>
      <c r="R80" s="12"/>
      <c r="S80" s="12"/>
      <c r="T80" s="12"/>
      <c r="U80" s="12"/>
      <c r="V80" s="12"/>
      <c r="W80" s="12"/>
      <c r="AK80" s="5" t="s">
        <v>414</v>
      </c>
      <c r="AL80" s="5"/>
      <c r="AM80" s="5"/>
      <c r="AN80" s="5"/>
      <c r="AO80" s="5"/>
      <c r="AP80" s="5"/>
      <c r="AQ80" s="5"/>
      <c r="AR80" s="5"/>
      <c r="AS80" s="17"/>
      <c r="AT80" s="72" t="e">
        <f>VLOOKUP(AT79,ContactorsTable,6,FALSE)</f>
        <v>#N/A</v>
      </c>
      <c r="AU80" s="6" t="str">
        <f>IF(ISNA(AT80),IncompleteText,OKText)</f>
        <v>BLANK</v>
      </c>
      <c r="AW80" s="87" t="s">
        <v>415</v>
      </c>
      <c r="AX80" s="5"/>
      <c r="AY80" s="5"/>
      <c r="AZ80" s="5"/>
      <c r="BA80" s="5"/>
      <c r="BB80" s="5"/>
      <c r="BC80" s="5"/>
      <c r="BD80" s="5"/>
      <c r="BE80" s="17"/>
      <c r="BF80" s="28"/>
      <c r="BG80" s="6" t="str">
        <f>IF(ISBLANK(BF80),IncompleteText,IF(BF80,OKText,ErrorText))</f>
        <v>BLANK</v>
      </c>
    </row>
    <row r="81" spans="1:47">
      <c r="A81" s="12"/>
      <c r="B81" s="12"/>
      <c r="C81" s="12"/>
      <c r="D81" s="12"/>
      <c r="E81" s="12"/>
      <c r="F81" s="12"/>
      <c r="G81" s="12"/>
      <c r="H81" s="12"/>
      <c r="I81" s="12"/>
      <c r="J81" s="12"/>
      <c r="K81" s="12"/>
      <c r="M81" s="12"/>
      <c r="N81" s="12"/>
      <c r="O81" s="12"/>
      <c r="P81" s="12"/>
      <c r="Q81" s="12"/>
      <c r="R81" s="12"/>
      <c r="S81" s="12"/>
      <c r="T81" s="12"/>
      <c r="U81" s="12"/>
      <c r="V81" s="12"/>
      <c r="W81" s="12"/>
      <c r="AK81" s="5" t="s">
        <v>416</v>
      </c>
      <c r="AL81" s="5"/>
      <c r="AM81" s="5"/>
      <c r="AN81" s="5"/>
      <c r="AO81" s="5"/>
      <c r="AP81" s="5"/>
      <c r="AQ81" s="5"/>
      <c r="AR81" s="5"/>
      <c r="AS81" s="86"/>
      <c r="AT81" s="28"/>
      <c r="AU81" s="6" t="str">
        <f>IF(ISBLANK(AT81),IncompleteText,IF(AT81,OKText,ErrorText))</f>
        <v>BLANK</v>
      </c>
    </row>
    <row r="82" spans="1:47">
      <c r="A82" s="12"/>
      <c r="B82" s="12"/>
      <c r="C82" s="12"/>
      <c r="D82" s="12"/>
      <c r="E82" s="12"/>
      <c r="F82" s="12"/>
      <c r="G82" s="12"/>
      <c r="H82" s="12"/>
      <c r="I82" s="12"/>
      <c r="J82" s="12"/>
      <c r="K82" s="12"/>
      <c r="M82" s="12"/>
      <c r="N82" s="12"/>
      <c r="O82" s="12"/>
      <c r="P82" s="12"/>
      <c r="Q82" s="12"/>
      <c r="R82" s="12"/>
      <c r="S82" s="12"/>
      <c r="T82" s="12"/>
      <c r="U82" s="12"/>
      <c r="V82" s="12"/>
      <c r="W82" s="12"/>
      <c r="AK82" s="5" t="s">
        <v>417</v>
      </c>
      <c r="AL82" s="5"/>
      <c r="AM82" s="5"/>
      <c r="AN82" s="5"/>
      <c r="AO82" s="5"/>
      <c r="AP82" s="5"/>
      <c r="AQ82" s="5"/>
      <c r="AR82" s="5"/>
      <c r="AS82" s="17"/>
      <c r="AT82" s="28"/>
      <c r="AU82" s="6" t="str">
        <f>IF(ISBLANK(AT82),IncompleteText,OKText)</f>
        <v>BLANK</v>
      </c>
    </row>
    <row r="83" spans="1:47">
      <c r="A83" s="12"/>
      <c r="B83" s="12"/>
      <c r="C83" s="12"/>
      <c r="D83" s="12"/>
      <c r="E83" s="12"/>
      <c r="F83" s="12"/>
      <c r="G83" s="12"/>
      <c r="H83" s="12"/>
      <c r="I83" s="12"/>
      <c r="J83" s="12"/>
      <c r="K83" s="12"/>
      <c r="M83" s="12"/>
      <c r="N83" s="12"/>
      <c r="O83" s="12"/>
      <c r="P83" s="12"/>
      <c r="Q83" s="12"/>
      <c r="R83" s="12"/>
      <c r="S83" s="12"/>
      <c r="T83" s="12"/>
      <c r="U83" s="12"/>
      <c r="V83" s="12"/>
      <c r="W83" s="12"/>
      <c r="AK83" s="5" t="s">
        <v>418</v>
      </c>
      <c r="AL83" s="5"/>
      <c r="AM83" s="5"/>
      <c r="AN83" s="5"/>
      <c r="AO83" s="5"/>
      <c r="AP83" s="5"/>
      <c r="AQ83" s="5"/>
      <c r="AR83" s="5"/>
      <c r="AS83" s="17"/>
      <c r="AT83" s="28"/>
      <c r="AU83" s="6" t="str">
        <f>IF(ISBLANK(AT83),IncompleteText,OKText)</f>
        <v>BLANK</v>
      </c>
    </row>
    <row r="84" spans="1:47">
      <c r="A84" s="12"/>
      <c r="B84" s="12"/>
      <c r="C84" s="12"/>
      <c r="D84" s="12"/>
      <c r="E84" s="12"/>
      <c r="F84" s="12"/>
      <c r="G84" s="12"/>
      <c r="H84" s="12"/>
      <c r="I84" s="12"/>
      <c r="J84" s="12"/>
      <c r="K84" s="12"/>
      <c r="M84" s="12"/>
      <c r="N84" s="12"/>
      <c r="O84" s="12"/>
      <c r="P84" s="12"/>
      <c r="Q84" s="12"/>
      <c r="R84" s="12"/>
      <c r="S84" s="12"/>
      <c r="T84" s="12"/>
      <c r="U84" s="12"/>
      <c r="V84" s="12"/>
      <c r="W84" s="12"/>
      <c r="AK84" s="5" t="s">
        <v>419</v>
      </c>
      <c r="AL84" s="5"/>
      <c r="AM84" s="5"/>
      <c r="AN84" s="5"/>
      <c r="AO84" s="5"/>
      <c r="AP84" s="5"/>
      <c r="AQ84" s="5"/>
      <c r="AR84" s="5"/>
      <c r="AS84" s="17"/>
      <c r="AT84" s="72" t="e">
        <f>VLOOKUP(AT83,ContactorsTable,6,FALSE)</f>
        <v>#N/A</v>
      </c>
      <c r="AU84" s="6" t="str">
        <f>IF(ISNA(AT84),IncompleteText,OKText)</f>
        <v>BLANK</v>
      </c>
    </row>
    <row r="85" spans="1:47">
      <c r="A85" s="12"/>
      <c r="B85" s="12"/>
      <c r="C85" s="12"/>
      <c r="D85" s="12"/>
      <c r="E85" s="12"/>
      <c r="F85" s="12"/>
      <c r="G85" s="12"/>
      <c r="H85" s="12"/>
      <c r="I85" s="12"/>
      <c r="J85" s="12"/>
      <c r="K85" s="12"/>
      <c r="M85" s="12"/>
      <c r="N85" s="12"/>
      <c r="O85" s="12"/>
      <c r="P85" s="12"/>
      <c r="Q85" s="12"/>
      <c r="R85" s="12"/>
      <c r="S85" s="12"/>
      <c r="T85" s="12"/>
      <c r="U85" s="12"/>
      <c r="V85" s="12"/>
      <c r="W85" s="12"/>
      <c r="AK85" s="5" t="s">
        <v>416</v>
      </c>
      <c r="AL85" s="5"/>
      <c r="AM85" s="5"/>
      <c r="AN85" s="5"/>
      <c r="AO85" s="5"/>
      <c r="AP85" s="5"/>
      <c r="AQ85" s="5"/>
      <c r="AR85" s="5"/>
      <c r="AS85" s="86"/>
      <c r="AT85" s="28"/>
      <c r="AU85" s="6" t="str">
        <f>IF(ISBLANK(AT85),IncompleteText,IF(AT85,OKText,ErrorText))</f>
        <v>BLANK</v>
      </c>
    </row>
    <row r="86" spans="1:47">
      <c r="A86" s="12"/>
      <c r="B86" s="12"/>
      <c r="C86" s="12"/>
      <c r="D86" s="12"/>
      <c r="E86" s="12"/>
      <c r="F86" s="12"/>
      <c r="G86" s="12"/>
      <c r="H86" s="12"/>
      <c r="I86" s="12"/>
      <c r="J86" s="12"/>
      <c r="K86" s="12"/>
      <c r="M86" s="12"/>
      <c r="N86" s="12"/>
      <c r="O86" s="12"/>
      <c r="P86" s="12"/>
      <c r="Q86" s="12"/>
      <c r="R86" s="12"/>
      <c r="S86" s="12"/>
      <c r="T86" s="12"/>
      <c r="U86" s="12"/>
      <c r="V86" s="12"/>
      <c r="W86" s="12"/>
      <c r="AK86" s="5" t="s">
        <v>420</v>
      </c>
      <c r="AL86" s="5"/>
      <c r="AM86" s="5"/>
      <c r="AN86" s="5"/>
      <c r="AO86" s="5"/>
      <c r="AP86" s="5"/>
      <c r="AQ86" s="5"/>
      <c r="AR86" s="5"/>
      <c r="AS86" s="17"/>
      <c r="AT86" s="28"/>
      <c r="AU86" s="6" t="str">
        <f>IF(ISBLANK(AT86),IncompleteText,IF(AT86,OKText,ErrorText))</f>
        <v>BLANK</v>
      </c>
    </row>
    <row r="87" ht="42" customHeight="1" spans="1:47">
      <c r="A87" s="12"/>
      <c r="B87" s="12"/>
      <c r="C87" s="12"/>
      <c r="D87" s="12"/>
      <c r="E87" s="12"/>
      <c r="F87" s="12"/>
      <c r="G87" s="12"/>
      <c r="H87" s="12"/>
      <c r="I87" s="12"/>
      <c r="J87" s="12"/>
      <c r="K87" s="12"/>
      <c r="M87" s="12"/>
      <c r="N87" s="12"/>
      <c r="O87" s="12"/>
      <c r="P87" s="12"/>
      <c r="Q87" s="12"/>
      <c r="R87" s="12"/>
      <c r="S87" s="12"/>
      <c r="T87" s="12"/>
      <c r="U87" s="12"/>
      <c r="V87" s="12"/>
      <c r="W87" s="12"/>
      <c r="AK87" s="22" t="s">
        <v>421</v>
      </c>
      <c r="AL87" s="55"/>
      <c r="AM87" s="55"/>
      <c r="AN87" s="55"/>
      <c r="AO87" s="55"/>
      <c r="AP87" s="55"/>
      <c r="AQ87" s="55"/>
      <c r="AR87" s="55"/>
      <c r="AS87" s="62"/>
      <c r="AT87" s="28"/>
      <c r="AU87" s="6" t="str">
        <f>IF(ISBLANK(AT87),IncompleteText,IF(AT87,OKText,ErrorText))</f>
        <v>BLANK</v>
      </c>
    </row>
    <row r="88" spans="1:47">
      <c r="A88" s="12"/>
      <c r="B88" s="12"/>
      <c r="C88" s="12"/>
      <c r="D88" s="12"/>
      <c r="E88" s="12"/>
      <c r="F88" s="12"/>
      <c r="G88" s="12"/>
      <c r="H88" s="12"/>
      <c r="I88" s="12"/>
      <c r="J88" s="12"/>
      <c r="K88" s="12"/>
      <c r="M88" s="12"/>
      <c r="N88" s="12"/>
      <c r="O88" s="12"/>
      <c r="P88" s="12"/>
      <c r="Q88" s="12"/>
      <c r="R88" s="12"/>
      <c r="S88" s="12"/>
      <c r="T88" s="12"/>
      <c r="U88" s="12"/>
      <c r="V88" s="12"/>
      <c r="W88" s="12"/>
      <c r="AK88" s="5" t="s">
        <v>422</v>
      </c>
      <c r="AL88" s="5"/>
      <c r="AM88" s="5"/>
      <c r="AN88" s="5"/>
      <c r="AO88" s="5"/>
      <c r="AP88" s="5"/>
      <c r="AQ88" s="5"/>
      <c r="AR88" s="5"/>
      <c r="AS88" s="5"/>
      <c r="AT88" s="28"/>
      <c r="AU88" s="6" t="str">
        <f>IF(ISBLANK(AT88),IncompleteText,IF(AT88,OKText,ErrorText))</f>
        <v>BLANK</v>
      </c>
    </row>
    <row r="89" ht="30" customHeight="1" spans="1:47">
      <c r="A89" s="12"/>
      <c r="B89" s="12"/>
      <c r="C89" s="12"/>
      <c r="D89" s="12"/>
      <c r="E89" s="12"/>
      <c r="F89" s="12"/>
      <c r="G89" s="12"/>
      <c r="H89" s="12"/>
      <c r="I89" s="12"/>
      <c r="J89" s="12"/>
      <c r="K89" s="12"/>
      <c r="M89" s="12"/>
      <c r="N89" s="12"/>
      <c r="O89" s="12"/>
      <c r="P89" s="12"/>
      <c r="Q89" s="12"/>
      <c r="R89" s="12"/>
      <c r="S89" s="12"/>
      <c r="T89" s="12"/>
      <c r="U89" s="12"/>
      <c r="V89" s="12"/>
      <c r="W89" s="12"/>
      <c r="AK89" s="33" t="s">
        <v>423</v>
      </c>
      <c r="AL89" s="33"/>
      <c r="AM89" s="33"/>
      <c r="AN89" s="33"/>
      <c r="AO89" s="33"/>
      <c r="AP89" s="33"/>
      <c r="AQ89" s="33"/>
      <c r="AR89" s="33"/>
      <c r="AS89" s="33"/>
      <c r="AT89" s="28"/>
      <c r="AU89" s="6" t="str">
        <f>IF(ISBLANK(AT89),IncompleteText,IF(AT89,OKText,ErrorText))</f>
        <v>BLANK</v>
      </c>
    </row>
    <row r="90" spans="1:47">
      <c r="A90" s="12"/>
      <c r="B90" s="12"/>
      <c r="C90" s="12"/>
      <c r="D90" s="12"/>
      <c r="E90" s="12"/>
      <c r="F90" s="12"/>
      <c r="G90" s="12"/>
      <c r="H90" s="12"/>
      <c r="I90" s="12"/>
      <c r="J90" s="12"/>
      <c r="K90" s="12"/>
      <c r="M90" s="12"/>
      <c r="N90" s="12"/>
      <c r="O90" s="12"/>
      <c r="P90" s="12"/>
      <c r="Q90" s="12"/>
      <c r="R90" s="12"/>
      <c r="S90" s="12"/>
      <c r="T90" s="12"/>
      <c r="U90" s="12"/>
      <c r="V90" s="12"/>
      <c r="W90" s="12"/>
      <c r="AK90" s="5" t="s">
        <v>328</v>
      </c>
      <c r="AL90" s="5"/>
      <c r="AM90" s="5"/>
      <c r="AN90" s="5"/>
      <c r="AO90" s="5"/>
      <c r="AP90" s="5"/>
      <c r="AQ90" s="5"/>
      <c r="AR90" s="5"/>
      <c r="AS90" s="17"/>
      <c r="AT90" s="28"/>
      <c r="AU90" s="6" t="str">
        <f>IF(ISBLANK(AT90),IncompleteText,OKText)</f>
        <v>BLANK</v>
      </c>
    </row>
    <row r="91" spans="1:47">
      <c r="A91" s="12"/>
      <c r="B91" s="12"/>
      <c r="C91" s="12"/>
      <c r="D91" s="12"/>
      <c r="E91" s="12"/>
      <c r="F91" s="12"/>
      <c r="G91" s="12"/>
      <c r="H91" s="12"/>
      <c r="I91" s="12"/>
      <c r="J91" s="12"/>
      <c r="K91" s="12"/>
      <c r="M91" s="12"/>
      <c r="N91" s="12"/>
      <c r="O91" s="12"/>
      <c r="P91" s="12"/>
      <c r="Q91" s="12"/>
      <c r="R91" s="12"/>
      <c r="S91" s="12"/>
      <c r="T91" s="12"/>
      <c r="U91" s="12"/>
      <c r="V91" s="12"/>
      <c r="W91" s="12"/>
      <c r="AK91" s="5" t="s">
        <v>424</v>
      </c>
      <c r="AL91" s="5"/>
      <c r="AM91" s="5"/>
      <c r="AN91" s="5"/>
      <c r="AO91" s="5"/>
      <c r="AP91" s="5"/>
      <c r="AQ91" s="5"/>
      <c r="AR91" s="5"/>
      <c r="AS91" s="17"/>
      <c r="AT91" s="28"/>
      <c r="AU91" s="6" t="str">
        <f>IF(AT$90="车队自制原理 Team design",OKText,IF(ISBLANK(AT91),IncompleteText,IF(AT91,OKText,ErrorText)))</f>
        <v>BLANK</v>
      </c>
    </row>
    <row r="92" spans="1:47">
      <c r="A92" s="12"/>
      <c r="B92" s="12"/>
      <c r="C92" s="12"/>
      <c r="D92" s="12"/>
      <c r="E92" s="12"/>
      <c r="F92" s="12"/>
      <c r="G92" s="12"/>
      <c r="H92" s="12"/>
      <c r="I92" s="12"/>
      <c r="J92" s="12"/>
      <c r="K92" s="12"/>
      <c r="M92" s="12"/>
      <c r="N92" s="12"/>
      <c r="O92" s="12"/>
      <c r="P92" s="12"/>
      <c r="Q92" s="12"/>
      <c r="R92" s="12"/>
      <c r="S92" s="12"/>
      <c r="T92" s="12"/>
      <c r="U92" s="12"/>
      <c r="V92" s="12"/>
      <c r="W92" s="12"/>
      <c r="AK92" s="5" t="s">
        <v>338</v>
      </c>
      <c r="AL92" s="5"/>
      <c r="AM92" s="5"/>
      <c r="AN92" s="5"/>
      <c r="AO92" s="5"/>
      <c r="AP92" s="5"/>
      <c r="AQ92" s="5"/>
      <c r="AR92" s="5"/>
      <c r="AS92" s="17"/>
      <c r="AT92" s="28"/>
      <c r="AU92" s="6" t="str">
        <f>IF(AT$90="车队自制原理 Team design",OKText,IF(ISBLANK(AT92),IncompleteText,IF(AT92,OKText,ErrorText)))</f>
        <v>BLANK</v>
      </c>
    </row>
    <row r="93" spans="1:47">
      <c r="A93" s="12"/>
      <c r="B93" s="12"/>
      <c r="C93" s="12"/>
      <c r="D93" s="12"/>
      <c r="E93" s="12"/>
      <c r="F93" s="12"/>
      <c r="G93" s="12"/>
      <c r="H93" s="12"/>
      <c r="I93" s="12"/>
      <c r="J93" s="12"/>
      <c r="K93" s="12"/>
      <c r="M93" s="12"/>
      <c r="N93" s="12"/>
      <c r="O93" s="12"/>
      <c r="P93" s="12"/>
      <c r="Q93" s="12"/>
      <c r="R93" s="12"/>
      <c r="S93" s="12"/>
      <c r="T93" s="12"/>
      <c r="U93" s="12"/>
      <c r="V93" s="12"/>
      <c r="W93" s="12"/>
      <c r="AK93" s="5" t="s">
        <v>343</v>
      </c>
      <c r="AL93" s="5"/>
      <c r="AM93" s="5"/>
      <c r="AN93" s="5"/>
      <c r="AO93" s="5"/>
      <c r="AP93" s="5"/>
      <c r="AQ93" s="5"/>
      <c r="AR93" s="5"/>
      <c r="AS93" s="17"/>
      <c r="AT93" s="28"/>
      <c r="AU93" s="6" t="str">
        <f>IF(AT$90="购买传感器 Purchased",OKText,IF(ISBLANK(AT93),IncompleteText,IF(AT93,OKText,ErrorText)))</f>
        <v>BLANK</v>
      </c>
    </row>
    <row r="94" ht="37.5" customHeight="1" spans="1:47">
      <c r="A94" s="12"/>
      <c r="B94" s="12"/>
      <c r="C94" s="12"/>
      <c r="D94" s="12"/>
      <c r="E94" s="12"/>
      <c r="F94" s="12"/>
      <c r="G94" s="12"/>
      <c r="H94" s="12"/>
      <c r="I94" s="12"/>
      <c r="J94" s="12"/>
      <c r="K94" s="12"/>
      <c r="M94" s="12"/>
      <c r="N94" s="12"/>
      <c r="O94" s="12"/>
      <c r="P94" s="12"/>
      <c r="Q94" s="12"/>
      <c r="R94" s="12"/>
      <c r="S94" s="12"/>
      <c r="T94" s="12"/>
      <c r="U94" s="12"/>
      <c r="V94" s="12"/>
      <c r="W94" s="12"/>
      <c r="AK94" s="33" t="s">
        <v>348</v>
      </c>
      <c r="AL94" s="33"/>
      <c r="AM94" s="33"/>
      <c r="AN94" s="33"/>
      <c r="AO94" s="33"/>
      <c r="AP94" s="33"/>
      <c r="AQ94" s="33"/>
      <c r="AR94" s="33"/>
      <c r="AS94" s="35"/>
      <c r="AT94" s="28"/>
      <c r="AU94" s="6" t="str">
        <f>IF(AT$90="购买传感器 Purchased",OKText,IF(ISBLANK(AT94),IncompleteText,IF(AT94,OKText,ErrorText)))</f>
        <v>BLANK</v>
      </c>
    </row>
    <row r="95" spans="1:47">
      <c r="A95" s="7" t="s">
        <v>406</v>
      </c>
      <c r="B95" s="7"/>
      <c r="C95" s="7"/>
      <c r="D95" s="7"/>
      <c r="E95" s="7"/>
      <c r="F95" s="7"/>
      <c r="G95" s="7"/>
      <c r="H95" s="7"/>
      <c r="I95" s="7"/>
      <c r="J95" s="7"/>
      <c r="K95" s="57" t="str">
        <f>IF(AND(J97=FALSE,NOT(ISBLANK(J97))),OKText,IF(COUNTIF(K97:K99,"="&amp;IncompleteText),IncompleteText,IF(COUNTIF(K97:K99,"="&amp;ErrorText),ErrorText,OKText)))</f>
        <v>BLANK</v>
      </c>
      <c r="M95" s="12"/>
      <c r="N95" s="12"/>
      <c r="O95" s="12"/>
      <c r="P95" s="12"/>
      <c r="Q95" s="12"/>
      <c r="R95" s="12"/>
      <c r="S95" s="12"/>
      <c r="T95" s="12"/>
      <c r="U95" s="12"/>
      <c r="V95" s="12"/>
      <c r="W95" s="12"/>
      <c r="AK95" s="5" t="s">
        <v>351</v>
      </c>
      <c r="AL95" s="5"/>
      <c r="AM95" s="5"/>
      <c r="AN95" s="5"/>
      <c r="AO95" s="5"/>
      <c r="AP95" s="5"/>
      <c r="AQ95" s="5"/>
      <c r="AR95" s="5"/>
      <c r="AS95" s="17"/>
      <c r="AT95" s="28"/>
      <c r="AU95" s="6" t="str">
        <f>IF(AT90="购买传感器 Purchased",OKText,IF(ISBLANK(AT95),IncompleteText,IF(ISBLANK(AT95),ErrorText,OKText)))</f>
        <v>BLANK</v>
      </c>
    </row>
    <row r="96" spans="1:47">
      <c r="A96" s="38" t="s">
        <v>248</v>
      </c>
      <c r="B96" s="54"/>
      <c r="C96" s="36"/>
      <c r="D96" s="36"/>
      <c r="E96" s="36"/>
      <c r="F96" s="36"/>
      <c r="G96" s="36"/>
      <c r="H96" s="36"/>
      <c r="I96" s="36"/>
      <c r="J96" s="36"/>
      <c r="K96" s="8"/>
      <c r="M96" s="7" t="s">
        <v>407</v>
      </c>
      <c r="N96" s="7"/>
      <c r="O96" s="7"/>
      <c r="P96" s="7"/>
      <c r="Q96" s="7"/>
      <c r="R96" s="7"/>
      <c r="S96" s="7"/>
      <c r="T96" s="7"/>
      <c r="U96" s="7"/>
      <c r="V96" s="7"/>
      <c r="W96" s="57" t="str">
        <f>IF(AND(V98=FALSE,NOT(ISBLANK(V98))),OKText,IF(COUNTIF(W98:W100,"="&amp;IncompleteText),IncompleteText,IF(COUNTIF(W98:W100,"="&amp;ErrorText),ErrorText,OKText)))</f>
        <v>BLANK</v>
      </c>
      <c r="AK96" s="5" t="s">
        <v>425</v>
      </c>
      <c r="AL96" s="5"/>
      <c r="AM96" s="5"/>
      <c r="AN96" s="5"/>
      <c r="AO96" s="5"/>
      <c r="AP96" s="5"/>
      <c r="AQ96" s="5"/>
      <c r="AR96" s="5"/>
      <c r="AS96" s="17"/>
      <c r="AT96" s="28"/>
      <c r="AU96" s="6" t="str">
        <f>IF(AT$90="购买传感器 Purchased",OKText,IF(ISBLANK(AT96),IncompleteText,IF(AT96,OKText,ErrorText)))</f>
        <v>BLANK</v>
      </c>
    </row>
    <row r="97" spans="1:47">
      <c r="A97" s="84" t="s">
        <v>368</v>
      </c>
      <c r="B97" s="84"/>
      <c r="C97" s="15" t="s">
        <v>426</v>
      </c>
      <c r="D97" s="15"/>
      <c r="E97" s="15"/>
      <c r="F97" s="15"/>
      <c r="G97" s="15"/>
      <c r="H97" s="15"/>
      <c r="I97" s="27"/>
      <c r="J97" s="28"/>
      <c r="K97" s="6" t="str">
        <f>IF(ISBLANK(J97),IncompleteText,OKText)</f>
        <v>BLANK</v>
      </c>
      <c r="M97" s="38" t="s">
        <v>248</v>
      </c>
      <c r="N97" s="54"/>
      <c r="O97" s="36"/>
      <c r="P97" s="36"/>
      <c r="Q97" s="36"/>
      <c r="R97" s="36"/>
      <c r="S97" s="36"/>
      <c r="T97" s="36"/>
      <c r="U97" s="36"/>
      <c r="V97" s="36"/>
      <c r="W97" s="8"/>
      <c r="AK97" s="5" t="s">
        <v>358</v>
      </c>
      <c r="AL97" s="5"/>
      <c r="AM97" s="5"/>
      <c r="AN97" s="5"/>
      <c r="AO97" s="5"/>
      <c r="AP97" s="5"/>
      <c r="AQ97" s="5"/>
      <c r="AR97" s="5"/>
      <c r="AS97" s="17"/>
      <c r="AT97" s="28"/>
      <c r="AU97" s="6" t="str">
        <f>IF(ISBLANK(AT97),IncompleteText,IF(ISBLANK(AT97),ErrorText,OKText))</f>
        <v>BLANK</v>
      </c>
    </row>
    <row r="98" ht="38.25" customHeight="1" spans="1:47">
      <c r="A98" s="84"/>
      <c r="B98" s="84"/>
      <c r="C98" s="21" t="s">
        <v>427</v>
      </c>
      <c r="D98" s="21"/>
      <c r="E98" s="21"/>
      <c r="F98" s="21"/>
      <c r="G98" s="21"/>
      <c r="H98" s="21"/>
      <c r="I98" s="31"/>
      <c r="J98" s="28"/>
      <c r="K98" s="6" t="str">
        <f t="shared" ref="K98:K99" si="1">IF(ISBLANK(J98),IncompleteText,IF(J98,OKText,ErrorText))</f>
        <v>BLANK</v>
      </c>
      <c r="M98" s="85" t="s">
        <v>428</v>
      </c>
      <c r="N98" s="85"/>
      <c r="O98" s="15" t="s">
        <v>429</v>
      </c>
      <c r="P98" s="15"/>
      <c r="Q98" s="15"/>
      <c r="R98" s="15"/>
      <c r="S98" s="15"/>
      <c r="T98" s="15"/>
      <c r="U98" s="27"/>
      <c r="V98" s="28"/>
      <c r="W98" s="6" t="str">
        <f>IF(ISBLANK(V98),IncompleteText,OKText)</f>
        <v>BLANK</v>
      </c>
      <c r="AK98" s="5" t="s">
        <v>360</v>
      </c>
      <c r="AL98" s="5"/>
      <c r="AM98" s="5"/>
      <c r="AN98" s="5"/>
      <c r="AO98" s="5"/>
      <c r="AP98" s="5"/>
      <c r="AQ98" s="5"/>
      <c r="AR98" s="5"/>
      <c r="AS98" s="17"/>
      <c r="AT98" s="72" t="e">
        <f>VLOOKUP(AT97,FuseTable,2,FALSE)</f>
        <v>#N/A</v>
      </c>
      <c r="AU98" s="6" t="str">
        <f>IF(ISNA(AT98),IncompleteText,OKText)</f>
        <v>BLANK</v>
      </c>
    </row>
    <row r="99" ht="43.5" customHeight="1" spans="1:47">
      <c r="A99" s="84"/>
      <c r="B99" s="84"/>
      <c r="C99" s="15" t="s">
        <v>430</v>
      </c>
      <c r="D99" s="15"/>
      <c r="E99" s="15"/>
      <c r="F99" s="15"/>
      <c r="G99" s="15"/>
      <c r="H99" s="15"/>
      <c r="I99" s="27"/>
      <c r="J99" s="28"/>
      <c r="K99" s="6" t="str">
        <f t="shared" si="1"/>
        <v>BLANK</v>
      </c>
      <c r="M99" s="85"/>
      <c r="N99" s="85"/>
      <c r="O99" s="15" t="s">
        <v>431</v>
      </c>
      <c r="P99" s="15"/>
      <c r="Q99" s="15"/>
      <c r="R99" s="15"/>
      <c r="S99" s="15"/>
      <c r="T99" s="15"/>
      <c r="U99" s="27"/>
      <c r="V99" s="28"/>
      <c r="W99" s="6" t="str">
        <f t="shared" ref="W99:W100" si="2">IF(ISBLANK(V99),IncompleteText,IF(V99,OKText,ErrorText))</f>
        <v>BLANK</v>
      </c>
      <c r="AK99" s="33" t="s">
        <v>432</v>
      </c>
      <c r="AL99" s="33"/>
      <c r="AM99" s="33"/>
      <c r="AN99" s="33"/>
      <c r="AO99" s="33"/>
      <c r="AP99" s="33"/>
      <c r="AQ99" s="33"/>
      <c r="AR99" s="33"/>
      <c r="AS99" s="35"/>
      <c r="AT99" s="28"/>
      <c r="AU99" s="6" t="str">
        <f>IF(ISBLANK(AT99),IncompleteText,IF(AT99,OKText,ErrorText))</f>
        <v>BLANK</v>
      </c>
    </row>
    <row r="100" ht="60" customHeight="1" spans="13:47">
      <c r="M100" s="85"/>
      <c r="N100" s="85"/>
      <c r="O100" s="15" t="s">
        <v>433</v>
      </c>
      <c r="P100" s="15"/>
      <c r="Q100" s="15"/>
      <c r="R100" s="15"/>
      <c r="S100" s="15"/>
      <c r="T100" s="15"/>
      <c r="U100" s="27"/>
      <c r="V100" s="28"/>
      <c r="W100" s="6" t="str">
        <f t="shared" si="2"/>
        <v>BLANK</v>
      </c>
      <c r="AK100" s="33" t="s">
        <v>434</v>
      </c>
      <c r="AL100" s="33"/>
      <c r="AM100" s="33"/>
      <c r="AN100" s="33"/>
      <c r="AO100" s="33"/>
      <c r="AP100" s="33"/>
      <c r="AQ100" s="33"/>
      <c r="AR100" s="33"/>
      <c r="AS100" s="33"/>
      <c r="AT100" s="28"/>
      <c r="AU100" s="6" t="str">
        <f>IF(ISBLANK(AT100),IncompleteText,IF(AT100,OKText,ErrorText))</f>
        <v>BLANK</v>
      </c>
    </row>
  </sheetData>
  <sheetProtection algorithmName="SHA-512" hashValue="wF5BfEGnMDsGH01LwjDKVgA4OemNeufVd2s+4TGBGV5AXdTQJo+W7CeoZnQaMCMoYGWcL87ztH/H0E4/feNgVA==" saltValue="DFpIcSHAFbxOleELHbU3/A==" spinCount="100000" sheet="1" selectLockedCells="1" insertHyperlinks="0" scenarios="1"/>
  <mergeCells count="184">
    <mergeCell ref="A2:E2"/>
    <mergeCell ref="H2:L2"/>
    <mergeCell ref="A3:C3"/>
    <mergeCell ref="D3:E3"/>
    <mergeCell ref="H3:J3"/>
    <mergeCell ref="K3:L3"/>
    <mergeCell ref="A4:C4"/>
    <mergeCell ref="D4:E4"/>
    <mergeCell ref="H4:J4"/>
    <mergeCell ref="K4:L4"/>
    <mergeCell ref="A5:C5"/>
    <mergeCell ref="H5:J5"/>
    <mergeCell ref="K5:L5"/>
    <mergeCell ref="A6:C6"/>
    <mergeCell ref="D6:E6"/>
    <mergeCell ref="H6:J6"/>
    <mergeCell ref="A7:C7"/>
    <mergeCell ref="D7:E7"/>
    <mergeCell ref="H7:J7"/>
    <mergeCell ref="A8:C8"/>
    <mergeCell ref="D8:E8"/>
    <mergeCell ref="H8:J8"/>
    <mergeCell ref="Y35:AH35"/>
    <mergeCell ref="AK35:AT35"/>
    <mergeCell ref="A36:J36"/>
    <mergeCell ref="M36:V36"/>
    <mergeCell ref="AW36:BG36"/>
    <mergeCell ref="A37:B37"/>
    <mergeCell ref="Y37:AG37"/>
    <mergeCell ref="AK37:AS37"/>
    <mergeCell ref="A38:B38"/>
    <mergeCell ref="C38:I38"/>
    <mergeCell ref="M38:U38"/>
    <mergeCell ref="Y38:AG38"/>
    <mergeCell ref="AK38:AS38"/>
    <mergeCell ref="A39:B39"/>
    <mergeCell ref="C39:I39"/>
    <mergeCell ref="M39:U39"/>
    <mergeCell ref="Y39:AG39"/>
    <mergeCell ref="AK39:AS39"/>
    <mergeCell ref="A40:B40"/>
    <mergeCell ref="C40:I40"/>
    <mergeCell ref="M40:U40"/>
    <mergeCell ref="Y40:AG40"/>
    <mergeCell ref="AK40:AS40"/>
    <mergeCell ref="A41:B41"/>
    <mergeCell ref="C41:I41"/>
    <mergeCell ref="M41:U41"/>
    <mergeCell ref="Y41:AG41"/>
    <mergeCell ref="AK41:AS41"/>
    <mergeCell ref="A42:B42"/>
    <mergeCell ref="C42:I42"/>
    <mergeCell ref="M42:U42"/>
    <mergeCell ref="V42:W42"/>
    <mergeCell ref="Y42:AG42"/>
    <mergeCell ref="AH42:AI42"/>
    <mergeCell ref="AK42:AS42"/>
    <mergeCell ref="A43:B43"/>
    <mergeCell ref="C43:I43"/>
    <mergeCell ref="AK43:AS43"/>
    <mergeCell ref="A44:B44"/>
    <mergeCell ref="C44:I44"/>
    <mergeCell ref="AK44:AS44"/>
    <mergeCell ref="A45:B45"/>
    <mergeCell ref="C45:I45"/>
    <mergeCell ref="AK45:AS45"/>
    <mergeCell ref="A46:B46"/>
    <mergeCell ref="C46:I46"/>
    <mergeCell ref="AK46:AS46"/>
    <mergeCell ref="A47:B47"/>
    <mergeCell ref="C47:I47"/>
    <mergeCell ref="AK47:AS47"/>
    <mergeCell ref="A48:B48"/>
    <mergeCell ref="C48:I48"/>
    <mergeCell ref="AK48:AS48"/>
    <mergeCell ref="A49:B49"/>
    <mergeCell ref="C49:I49"/>
    <mergeCell ref="Y49:AH49"/>
    <mergeCell ref="A50:B50"/>
    <mergeCell ref="C50:I50"/>
    <mergeCell ref="Y50:AH50"/>
    <mergeCell ref="A51:B51"/>
    <mergeCell ref="C51:I51"/>
    <mergeCell ref="Y51:AG51"/>
    <mergeCell ref="A52:B52"/>
    <mergeCell ref="C52:I52"/>
    <mergeCell ref="Y52:AG52"/>
    <mergeCell ref="A53:B53"/>
    <mergeCell ref="C53:I53"/>
    <mergeCell ref="C54:I54"/>
    <mergeCell ref="C55:I55"/>
    <mergeCell ref="Y55:AH55"/>
    <mergeCell ref="C56:I56"/>
    <mergeCell ref="Y56:AH56"/>
    <mergeCell ref="A57:B57"/>
    <mergeCell ref="C57:I57"/>
    <mergeCell ref="Y57:AF57"/>
    <mergeCell ref="A58:B58"/>
    <mergeCell ref="C58:I58"/>
    <mergeCell ref="Y58:AF58"/>
    <mergeCell ref="A59:B59"/>
    <mergeCell ref="C59:I59"/>
    <mergeCell ref="Y59:AF59"/>
    <mergeCell ref="A60:B60"/>
    <mergeCell ref="C60:I60"/>
    <mergeCell ref="Y60:AF60"/>
    <mergeCell ref="A61:B61"/>
    <mergeCell ref="C61:I61"/>
    <mergeCell ref="Y61:AF61"/>
    <mergeCell ref="A62:B62"/>
    <mergeCell ref="C62:I62"/>
    <mergeCell ref="Y62:AF62"/>
    <mergeCell ref="A63:I63"/>
    <mergeCell ref="J63:K63"/>
    <mergeCell ref="Y63:AF63"/>
    <mergeCell ref="AK76:AT76"/>
    <mergeCell ref="AW76:BF76"/>
    <mergeCell ref="AK78:AS78"/>
    <mergeCell ref="AW78:BE78"/>
    <mergeCell ref="AK79:AS79"/>
    <mergeCell ref="AW79:BE79"/>
    <mergeCell ref="AK80:AS80"/>
    <mergeCell ref="AW80:BE80"/>
    <mergeCell ref="AK81:AS81"/>
    <mergeCell ref="AK82:AS82"/>
    <mergeCell ref="AK83:AS83"/>
    <mergeCell ref="AK84:AS84"/>
    <mergeCell ref="AK85:AS85"/>
    <mergeCell ref="AK86:AS86"/>
    <mergeCell ref="AK87:AS87"/>
    <mergeCell ref="AK88:AS88"/>
    <mergeCell ref="AK89:AS89"/>
    <mergeCell ref="AK90:AS90"/>
    <mergeCell ref="AK91:AS91"/>
    <mergeCell ref="AK92:AS92"/>
    <mergeCell ref="AK93:AS93"/>
    <mergeCell ref="AK94:AS94"/>
    <mergeCell ref="A95:J95"/>
    <mergeCell ref="AK95:AS95"/>
    <mergeCell ref="A96:B96"/>
    <mergeCell ref="M96:V96"/>
    <mergeCell ref="AK96:AS96"/>
    <mergeCell ref="C97:I97"/>
    <mergeCell ref="M97:N97"/>
    <mergeCell ref="AK97:AS97"/>
    <mergeCell ref="C98:I98"/>
    <mergeCell ref="O98:U98"/>
    <mergeCell ref="AK98:AS98"/>
    <mergeCell ref="C99:I99"/>
    <mergeCell ref="O99:U99"/>
    <mergeCell ref="AK99:AS99"/>
    <mergeCell ref="O100:U100"/>
    <mergeCell ref="AK100:AS100"/>
    <mergeCell ref="F2:F3"/>
    <mergeCell ref="K36:K37"/>
    <mergeCell ref="K95:K96"/>
    <mergeCell ref="M2:M3"/>
    <mergeCell ref="W36:W37"/>
    <mergeCell ref="W96:W97"/>
    <mergeCell ref="AI35:AI36"/>
    <mergeCell ref="AI49:AI50"/>
    <mergeCell ref="AI55:AI57"/>
    <mergeCell ref="AU35:AU36"/>
    <mergeCell ref="AU76:AU77"/>
    <mergeCell ref="BG76:BG77"/>
    <mergeCell ref="M98:N100"/>
    <mergeCell ref="M43:U46"/>
    <mergeCell ref="V43:W46"/>
    <mergeCell ref="AH43:AI46"/>
    <mergeCell ref="AW50:BG75"/>
    <mergeCell ref="AK9:AU34"/>
    <mergeCell ref="AW9:BG34"/>
    <mergeCell ref="Y9:AI34"/>
    <mergeCell ref="AW37:BG46"/>
    <mergeCell ref="A10:K35"/>
    <mergeCell ref="A97:B99"/>
    <mergeCell ref="A64:I67"/>
    <mergeCell ref="J64:K67"/>
    <mergeCell ref="A69:K94"/>
    <mergeCell ref="A54:B56"/>
    <mergeCell ref="M10:W35"/>
    <mergeCell ref="AK50:AU75"/>
    <mergeCell ref="M70:W95"/>
    <mergeCell ref="Y43:AG46"/>
  </mergeCells>
  <conditionalFormatting sqref="AK81:AU81">
    <cfRule type="expression" dxfId="4" priority="35">
      <formula>$AT$78="其他测量方式 Others"</formula>
    </cfRule>
  </conditionalFormatting>
  <conditionalFormatting sqref="AK85:AU85">
    <cfRule type="expression" dxfId="4" priority="33">
      <formula>$AT$82="其他测量方式 Others"</formula>
    </cfRule>
  </conditionalFormatting>
  <conditionalFormatting sqref="W96:W100">
    <cfRule type="cellIs" dxfId="0" priority="1" operator="equal">
      <formula>ErrorText</formula>
    </cfRule>
  </conditionalFormatting>
  <conditionalFormatting sqref="AU76:AU96 F2:F8 M2:M8 Z8 AI35:AI41 AU35:AU43 K36:K62 AU48 AI49:AI52 AI55:AI64 BG76:BG80 AU100">
    <cfRule type="cellIs" dxfId="0" priority="10" operator="equal">
      <formula>ErrorText</formula>
    </cfRule>
  </conditionalFormatting>
  <conditionalFormatting sqref="AK9:AU34">
    <cfRule type="expression" dxfId="5" priority="47">
      <formula>$AT$37="供应商 Purchased"</formula>
    </cfRule>
  </conditionalFormatting>
  <conditionalFormatting sqref="W36:W41 K95:K99">
    <cfRule type="cellIs" dxfId="0" priority="12" operator="equal">
      <formula>ErrorText</formula>
    </cfRule>
  </conditionalFormatting>
  <conditionalFormatting sqref="AK38:AU39">
    <cfRule type="expression" dxfId="3" priority="46">
      <formula>$AT$37="车队自制原理 team"</formula>
    </cfRule>
  </conditionalFormatting>
  <conditionalFormatting sqref="AK40:AU43">
    <cfRule type="expression" dxfId="3" priority="43">
      <formula>$AT$37="供应商 Purchased"</formula>
    </cfRule>
  </conditionalFormatting>
  <conditionalFormatting sqref="AK86:AU87">
    <cfRule type="expression" dxfId="4" priority="30">
      <formula>$AT$78="辅助触点 Auxiliary Contacts"</formula>
    </cfRule>
  </conditionalFormatting>
  <conditionalFormatting sqref="AK91:AU92">
    <cfRule type="expression" dxfId="3" priority="3">
      <formula>$AT$90="车队自制原理 Team design"</formula>
    </cfRule>
  </conditionalFormatting>
  <conditionalFormatting sqref="AK93:AU96">
    <cfRule type="expression" dxfId="3" priority="7">
      <formula>$AT$90="购买传感器 Purchased"</formula>
    </cfRule>
  </conditionalFormatting>
  <dataValidations count="10">
    <dataValidation type="list" allowBlank="1" showInputMessage="1" showErrorMessage="1" sqref="D4:E4">
      <formula1>"Bender IR155-3203,Bender IR155-3204,Bender iso165c-1,Kclear BMU05"</formula1>
    </dataValidation>
    <dataValidation type="list" allowBlank="1" showInputMessage="1" showErrorMessage="1" sqref="AT37">
      <formula1>"车队自制原理 team, 供应商 purchased"</formula1>
    </dataValidation>
    <dataValidation type="list" allowBlank="1" showInputMessage="1" showErrorMessage="1" sqref="AT43 AT81 AT96 J38:J62 J97:J99 V38:V41 V98:V100 AH37:AH41 AH51:AH52 AT40:AT41 AT46:AT48 AT85:AT89 AT93:AT94 AT99:AT100 BF78:BF80">
      <formula1>"TRUE,FALSE"</formula1>
    </dataValidation>
    <dataValidation type="list" allowBlank="1" showInputMessage="1" showErrorMessage="1" sqref="AT44 AT97">
      <formula1>FuseName</formula1>
    </dataValidation>
    <dataValidation type="list" allowBlank="1" showInputMessage="1" showErrorMessage="1" sqref="AT78">
      <formula1>"辅助触点 Auxiliary Contacts, 其他测量方式 Others"</formula1>
    </dataValidation>
    <dataValidation type="list" allowBlank="1" showInputMessage="1" showErrorMessage="1" sqref="AT79 AT83">
      <formula1>ContactorNames</formula1>
    </dataValidation>
    <dataValidation type="list" allowBlank="1" showInputMessage="1" showErrorMessage="1" sqref="AT82">
      <formula1>"辅助触点 Auxiliary Contacts, 其他测量 Others"</formula1>
    </dataValidation>
    <dataValidation type="list" allowBlank="1" showInputMessage="1" showErrorMessage="1" sqref="AT90">
      <formula1>"车队自制原理 Team design,购买传感器 Purchased"</formula1>
    </dataValidation>
    <dataValidation type="list" allowBlank="1" showInputMessage="1" showErrorMessage="1" sqref="AG58:AG63">
      <formula1>"熄灭 OFF,常亮 ON"</formula1>
    </dataValidation>
    <dataValidation type="list" allowBlank="1" showInputMessage="1" showErrorMessage="1" sqref="AH58:AH63">
      <formula1>"熄灭 OFF, 闪烁 Flashing"</formula1>
    </dataValidation>
  </dataValidation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
  <sheetViews>
    <sheetView workbookViewId="0">
      <selection activeCell="E2" sqref="E2"/>
    </sheetView>
  </sheetViews>
  <sheetFormatPr defaultColWidth="9" defaultRowHeight="14"/>
  <cols>
    <col min="1" max="1" width="12.5" customWidth="1"/>
    <col min="3" max="3" width="18.875" customWidth="1"/>
    <col min="4" max="4" width="15.375" customWidth="1"/>
    <col min="5" max="5" width="12.25" customWidth="1"/>
    <col min="12" max="12" width="20.125" customWidth="1"/>
    <col min="13" max="13" width="20" customWidth="1"/>
    <col min="14" max="14" width="18.25" customWidth="1"/>
    <col min="15" max="15" width="21" customWidth="1"/>
    <col min="16" max="16" width="19.625" customWidth="1"/>
    <col min="17" max="17" width="15.125" customWidth="1"/>
  </cols>
  <sheetData>
    <row r="1" spans="1:2">
      <c r="A1" s="5" t="s">
        <v>435</v>
      </c>
      <c r="B1" s="6" t="str" cm="1">
        <f ca="1" t="array" ref="B1">IF(SUM(COUNTIF(INDIRECT({"$F$2","$F$3","$F$4","$S$6"}),"="&amp;IncompleteText)),IncompleteText,IF(SUM(COUNTIF(INDIRECT({"$F$2","$F$3","$F$4","$S$6"}),"="&amp;ErrorText)),ErrorText,OKText))</f>
        <v>BLANK</v>
      </c>
    </row>
    <row r="2" spans="1:19">
      <c r="A2" s="5" t="s">
        <v>436</v>
      </c>
      <c r="B2" s="5"/>
      <c r="C2" s="5"/>
      <c r="D2" s="5"/>
      <c r="E2" s="28"/>
      <c r="F2" s="6" t="str">
        <f>IF(ISBLANK(E2),IncompleteText,OKText)</f>
        <v>BLANK</v>
      </c>
      <c r="H2" s="7" t="s">
        <v>437</v>
      </c>
      <c r="I2" s="7"/>
      <c r="J2" s="7"/>
      <c r="K2" s="7"/>
      <c r="L2" s="7"/>
      <c r="M2" s="7"/>
      <c r="N2" s="7"/>
      <c r="O2" s="7"/>
      <c r="P2" s="7"/>
      <c r="Q2" s="7"/>
      <c r="R2" s="7"/>
      <c r="S2" s="8" t="str">
        <f>IF(COUNTIF(S6:S11,"="&amp;IncompleteText),IncompleteText,IF(COUNTIF(S6:S11,"="&amp;ErrorText),ErrorText,OKText))</f>
        <v>BLANK</v>
      </c>
    </row>
    <row r="3" spans="1:19">
      <c r="A3" s="5" t="s">
        <v>438</v>
      </c>
      <c r="B3" s="5"/>
      <c r="C3" s="5"/>
      <c r="D3" s="17"/>
      <c r="E3" s="28"/>
      <c r="F3" s="6" t="str">
        <f>IF(ISBLANK(E3),IncompleteText,OKText)</f>
        <v>BLANK</v>
      </c>
      <c r="H3" s="36"/>
      <c r="I3" s="36"/>
      <c r="J3" s="36"/>
      <c r="K3" s="36"/>
      <c r="L3" s="36"/>
      <c r="M3" s="36"/>
      <c r="N3" s="36"/>
      <c r="O3" s="36"/>
      <c r="P3" s="36"/>
      <c r="Q3" s="36"/>
      <c r="R3" s="36"/>
      <c r="S3" s="8"/>
    </row>
    <row r="4" spans="1:24">
      <c r="A4" s="7" t="s">
        <v>439</v>
      </c>
      <c r="B4" s="7"/>
      <c r="C4" s="7"/>
      <c r="D4" s="7"/>
      <c r="E4" s="7"/>
      <c r="F4" s="8" t="str">
        <f>IF(E2="数字 digital",OKText,IF(COUNTIF(F7:F13,"="&amp;IncompleteText),IncompleteText,IF(COUNTIF(F7:F13,"="&amp;ErrorText),ErrorText,OKText)))</f>
        <v>BLANK</v>
      </c>
      <c r="H4" s="37" t="s">
        <v>440</v>
      </c>
      <c r="I4" s="37"/>
      <c r="J4" s="37" t="s">
        <v>441</v>
      </c>
      <c r="K4" s="37"/>
      <c r="L4" s="37" t="s">
        <v>442</v>
      </c>
      <c r="M4" s="37" t="s">
        <v>443</v>
      </c>
      <c r="N4" s="37" t="s">
        <v>444</v>
      </c>
      <c r="O4" s="37" t="s">
        <v>445</v>
      </c>
      <c r="P4" s="37" t="s">
        <v>446</v>
      </c>
      <c r="Q4" s="37" t="s">
        <v>447</v>
      </c>
      <c r="R4" s="37" t="s">
        <v>448</v>
      </c>
      <c r="S4" s="2"/>
      <c r="T4" s="2" t="s">
        <v>449</v>
      </c>
      <c r="U4" s="2"/>
      <c r="V4" s="2"/>
      <c r="W4" s="2"/>
      <c r="X4" s="2"/>
    </row>
    <row r="5" spans="1:24">
      <c r="A5" s="38" t="s">
        <v>224</v>
      </c>
      <c r="B5" s="39"/>
      <c r="C5" s="40" t="s">
        <v>450</v>
      </c>
      <c r="D5" s="41"/>
      <c r="E5" s="42"/>
      <c r="F5" s="8"/>
      <c r="H5" s="37"/>
      <c r="I5" s="37"/>
      <c r="J5" s="47"/>
      <c r="K5" s="47"/>
      <c r="L5" s="48"/>
      <c r="M5" s="48"/>
      <c r="N5" s="49"/>
      <c r="O5" s="49"/>
      <c r="P5" s="49"/>
      <c r="Q5" s="49"/>
      <c r="R5" s="49"/>
      <c r="S5" s="2"/>
      <c r="T5" s="49"/>
      <c r="U5" s="49"/>
      <c r="V5" s="49"/>
      <c r="W5" s="49"/>
      <c r="X5" s="49"/>
    </row>
    <row r="6" ht="27.75" customHeight="1" spans="1:24">
      <c r="A6" s="43" t="s">
        <v>451</v>
      </c>
      <c r="B6" s="44" t="s">
        <v>452</v>
      </c>
      <c r="C6" s="44"/>
      <c r="D6" s="44" t="s">
        <v>453</v>
      </c>
      <c r="E6" s="44"/>
      <c r="F6" s="6"/>
      <c r="H6" s="2" t="s">
        <v>454</v>
      </c>
      <c r="I6" s="2"/>
      <c r="J6" s="20"/>
      <c r="K6" s="20"/>
      <c r="L6" s="28"/>
      <c r="M6" s="28"/>
      <c r="N6" s="28"/>
      <c r="O6" s="28"/>
      <c r="P6" s="28"/>
      <c r="Q6" s="28"/>
      <c r="R6" s="46"/>
      <c r="S6" s="6" t="str">
        <f>IF(COUNTBLANK(J6:L6)&gt;1,IncompleteText,OKText)</f>
        <v>BLANK</v>
      </c>
      <c r="T6" s="20"/>
      <c r="U6" s="20"/>
      <c r="V6" s="20"/>
      <c r="W6" s="20"/>
      <c r="X6" s="20"/>
    </row>
    <row r="7" spans="1:24">
      <c r="A7" s="45">
        <v>0</v>
      </c>
      <c r="B7" s="46"/>
      <c r="C7" s="46"/>
      <c r="D7" s="46"/>
      <c r="E7" s="46"/>
      <c r="F7" s="6" t="str">
        <f>IF(OR(ISBLANK(B7),ISBLANK(D7)),IncompleteText,OKText)</f>
        <v>BLANK</v>
      </c>
      <c r="H7" s="20" t="str">
        <f>IF(ISBLANK(J6),"",J6)</f>
        <v/>
      </c>
      <c r="I7" s="20"/>
      <c r="J7" s="20"/>
      <c r="K7" s="20"/>
      <c r="L7" s="28"/>
      <c r="M7" s="28"/>
      <c r="N7" s="28"/>
      <c r="O7" s="28"/>
      <c r="P7" s="28"/>
      <c r="Q7" s="28"/>
      <c r="R7" s="46"/>
      <c r="S7" s="6" t="str">
        <f>IF(ISBLANK(J7),"",IF(ISBLANK(L7),IncompleteText,OKText))</f>
        <v/>
      </c>
      <c r="T7" s="20"/>
      <c r="U7" s="20"/>
      <c r="V7" s="20"/>
      <c r="W7" s="20"/>
      <c r="X7" s="20"/>
    </row>
    <row r="8" spans="1:24">
      <c r="A8" s="45">
        <v>0.2</v>
      </c>
      <c r="B8" s="46"/>
      <c r="C8" s="46"/>
      <c r="D8" s="46"/>
      <c r="E8" s="46"/>
      <c r="F8" s="6" t="str">
        <f>IF(OR(ISBLANK(B8),ISBLANK(D8)),IncompleteText,IF(OR(AND(_xlfn.XOR(B8&lt;D8,B7&lt;D7),B7&lt;&gt;D7),B8=D8),ErrorText,OKText))</f>
        <v>BLANK</v>
      </c>
      <c r="H8" s="20" t="str">
        <f>IF(ISBLANK(J7),"",J7)</f>
        <v/>
      </c>
      <c r="I8" s="20"/>
      <c r="J8" s="20"/>
      <c r="K8" s="20"/>
      <c r="L8" s="28"/>
      <c r="M8" s="28"/>
      <c r="N8" s="28"/>
      <c r="O8" s="28"/>
      <c r="P8" s="28"/>
      <c r="Q8" s="28"/>
      <c r="R8" s="46"/>
      <c r="S8" s="6" t="str">
        <f>IF(ISBLANK(J8),"",IF(ISBLANK(L8),IncompleteText,OKText))</f>
        <v/>
      </c>
      <c r="T8" s="20"/>
      <c r="U8" s="20"/>
      <c r="V8" s="20"/>
      <c r="W8" s="20"/>
      <c r="X8" s="20"/>
    </row>
    <row r="9" spans="1:24">
      <c r="A9" s="45">
        <v>0.4</v>
      </c>
      <c r="B9" s="46"/>
      <c r="C9" s="46"/>
      <c r="D9" s="46"/>
      <c r="E9" s="46"/>
      <c r="F9" s="6" t="str">
        <f>IF(OR(ISBLANK(B9),ISBLANK(D9)),IncompleteText,IF(OR(_xlfn.XOR(B9&lt;D9,B8&lt;D8),B9=D9),ErrorText,OKText))</f>
        <v>BLANK</v>
      </c>
      <c r="H9" s="20" t="str">
        <f>IF(ISBLANK(J8),"",J8)</f>
        <v/>
      </c>
      <c r="I9" s="20"/>
      <c r="J9" s="20"/>
      <c r="K9" s="20"/>
      <c r="L9" s="28"/>
      <c r="M9" s="28"/>
      <c r="N9" s="28"/>
      <c r="O9" s="28"/>
      <c r="P9" s="28"/>
      <c r="Q9" s="28"/>
      <c r="R9" s="46"/>
      <c r="S9" s="6" t="str">
        <f>IF(ISBLANK(J9),"",IF(ISBLANK(L9),IncompleteText,OKText))</f>
        <v/>
      </c>
      <c r="T9" s="20"/>
      <c r="U9" s="20"/>
      <c r="V9" s="20"/>
      <c r="W9" s="20"/>
      <c r="X9" s="20"/>
    </row>
    <row r="10" spans="1:24">
      <c r="A10" s="45">
        <v>0.6</v>
      </c>
      <c r="B10" s="46"/>
      <c r="C10" s="46"/>
      <c r="D10" s="46"/>
      <c r="E10" s="46"/>
      <c r="F10" s="6" t="str">
        <f>IF(OR(ISBLANK(B10),ISBLANK(D10)),IncompleteText,IF(OR(_xlfn.XOR(B10&lt;D10,B9&lt;D9),B10=D10),ErrorText,OKText))</f>
        <v>BLANK</v>
      </c>
      <c r="H10" s="20" t="str">
        <f>IF(ISBLANK(J9),"",J9)</f>
        <v/>
      </c>
      <c r="I10" s="20"/>
      <c r="J10" s="20"/>
      <c r="K10" s="20"/>
      <c r="L10" s="28"/>
      <c r="M10" s="28"/>
      <c r="N10" s="28"/>
      <c r="O10" s="28"/>
      <c r="P10" s="28"/>
      <c r="Q10" s="28"/>
      <c r="R10" s="46"/>
      <c r="S10" s="6" t="str">
        <f>IF(ISBLANK(J10),"",IF(ISBLANK(L10),IncompleteText,OKText))</f>
        <v/>
      </c>
      <c r="T10" s="20"/>
      <c r="U10" s="20"/>
      <c r="V10" s="20"/>
      <c r="W10" s="20"/>
      <c r="X10" s="20"/>
    </row>
    <row r="11" spans="1:24">
      <c r="A11" s="45">
        <v>0.8</v>
      </c>
      <c r="B11" s="46"/>
      <c r="C11" s="46"/>
      <c r="D11" s="46"/>
      <c r="E11" s="46"/>
      <c r="F11" s="6" t="str">
        <f>IF(OR(ISBLANK(B11),ISBLANK(D11)),IncompleteText,IF(OR(_xlfn.XOR(B11&lt;D11,B10&lt;D10),B11=D11),ErrorText,OKText))</f>
        <v>BLANK</v>
      </c>
      <c r="H11" s="20" t="str">
        <f>IF(ISBLANK(J10),"",J10)</f>
        <v/>
      </c>
      <c r="I11" s="20"/>
      <c r="J11" s="20"/>
      <c r="K11" s="20"/>
      <c r="L11" s="28"/>
      <c r="M11" s="28"/>
      <c r="N11" s="28"/>
      <c r="O11" s="28"/>
      <c r="P11" s="28"/>
      <c r="Q11" s="28"/>
      <c r="R11" s="46"/>
      <c r="S11" s="6" t="str">
        <f>IF(ISBLANK(J11),"",IF(ISBLANK(L11),IncompleteText,OKText))</f>
        <v/>
      </c>
      <c r="T11" s="20"/>
      <c r="U11" s="20"/>
      <c r="V11" s="20"/>
      <c r="W11" s="20"/>
      <c r="X11" s="20"/>
    </row>
    <row r="12" spans="1:6">
      <c r="A12" s="45">
        <v>1</v>
      </c>
      <c r="B12" s="46"/>
      <c r="C12" s="46"/>
      <c r="D12" s="46"/>
      <c r="E12" s="46"/>
      <c r="F12" s="6" t="str">
        <f>IF(OR(ISBLANK(B12),ISBLANK(D12)),IncompleteText,IF(OR(_xlfn.XOR(B12&lt;D12,B11&lt;D11),B12=D12),ErrorText,OKText))</f>
        <v>BLANK</v>
      </c>
    </row>
    <row r="13" spans="1:6">
      <c r="A13" s="15" t="s">
        <v>455</v>
      </c>
      <c r="B13" s="15"/>
      <c r="C13" s="15"/>
      <c r="D13" s="15"/>
      <c r="E13" s="28"/>
      <c r="F13" s="6" t="str">
        <f>IF(ISBLANK(E13),IncompleteText,IF(E13,OKText,FALSE))</f>
        <v>BLANK</v>
      </c>
    </row>
  </sheetData>
  <sheetProtection algorithmName="SHA-512" hashValue="Hn2ERdclpNt9IZLyWMtWJl1Wyd17hkuZPxpj6OpcSJvVRe776dvwiNzEEB51iFVIGL6OY0ZPqsLuHsNkehKQsg==" saltValue="3fLSEfCxes6UrkJBgDhkPg==" spinCount="100000" sheet="1" selectLockedCells="1" insertHyperlinks="0" scenarios="1"/>
  <mergeCells count="51">
    <mergeCell ref="A2:D2"/>
    <mergeCell ref="H2:R2"/>
    <mergeCell ref="A3:D3"/>
    <mergeCell ref="A4:E4"/>
    <mergeCell ref="A5:B5"/>
    <mergeCell ref="C5:E5"/>
    <mergeCell ref="B6:C6"/>
    <mergeCell ref="D6:E6"/>
    <mergeCell ref="H6:I6"/>
    <mergeCell ref="J6:K6"/>
    <mergeCell ref="T6:X6"/>
    <mergeCell ref="B7:C7"/>
    <mergeCell ref="D7:E7"/>
    <mergeCell ref="H7:I7"/>
    <mergeCell ref="J7:K7"/>
    <mergeCell ref="T7:X7"/>
    <mergeCell ref="B8:C8"/>
    <mergeCell ref="D8:E8"/>
    <mergeCell ref="H8:I8"/>
    <mergeCell ref="J8:K8"/>
    <mergeCell ref="T8:X8"/>
    <mergeCell ref="B9:C9"/>
    <mergeCell ref="D9:E9"/>
    <mergeCell ref="H9:I9"/>
    <mergeCell ref="J9:K9"/>
    <mergeCell ref="T9:X9"/>
    <mergeCell ref="B10:C10"/>
    <mergeCell ref="D10:E10"/>
    <mergeCell ref="H10:I10"/>
    <mergeCell ref="J10:K10"/>
    <mergeCell ref="T10:X10"/>
    <mergeCell ref="B11:C11"/>
    <mergeCell ref="D11:E11"/>
    <mergeCell ref="H11:I11"/>
    <mergeCell ref="J11:K11"/>
    <mergeCell ref="T11:X11"/>
    <mergeCell ref="B12:C12"/>
    <mergeCell ref="D12:E12"/>
    <mergeCell ref="A13:D13"/>
    <mergeCell ref="F4:F5"/>
    <mergeCell ref="L4:L5"/>
    <mergeCell ref="M4:M5"/>
    <mergeCell ref="N4:N5"/>
    <mergeCell ref="O4:O5"/>
    <mergeCell ref="P4:P5"/>
    <mergeCell ref="Q4:Q5"/>
    <mergeCell ref="R4:R5"/>
    <mergeCell ref="S2:S3"/>
    <mergeCell ref="T4:X5"/>
    <mergeCell ref="H4:I5"/>
    <mergeCell ref="J4:K5"/>
  </mergeCells>
  <conditionalFormatting sqref="A4:F13">
    <cfRule type="expression" dxfId="3" priority="1">
      <formula>$E$2="数字 digital"</formula>
    </cfRule>
  </conditionalFormatting>
  <dataValidations count="5">
    <dataValidation type="list" allowBlank="1" showInputMessage="1" showErrorMessage="1" sqref="E2">
      <formula1>"模拟 analog,数字 digital"</formula1>
    </dataValidation>
    <dataValidation type="list" allowBlank="1" showInputMessage="1" showErrorMessage="1" sqref="E13">
      <formula1>"TRUE,FALSE"</formula1>
    </dataValidation>
    <dataValidation type="list" allowBlank="1" showInputMessage="1" showErrorMessage="1" sqref="L6:L11">
      <formula1>"模拟,数字"</formula1>
    </dataValidation>
    <dataValidation type="list" allowBlank="1" showInputMessage="1" showErrorMessage="1" sqref="H7:I11 J6:K11">
      <formula1>"整车控制器节点(VCU),电机控制器(MCU)"</formula1>
    </dataValidation>
    <dataValidation type="list" allowBlank="1" showInputMessage="1" showErrorMessage="1" sqref="M6:R11">
      <formula1>"TRUR,FALSE"</formula1>
    </dataValidation>
  </dataValidation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0"/>
  <sheetViews>
    <sheetView workbookViewId="0">
      <selection activeCell="A9" sqref="A9:H27"/>
    </sheetView>
  </sheetViews>
  <sheetFormatPr defaultColWidth="9" defaultRowHeight="14"/>
  <cols>
    <col min="1" max="1" width="12" customWidth="1"/>
    <col min="25" max="25" width="29.375" customWidth="1"/>
    <col min="34" max="34" width="19.625" customWidth="1"/>
  </cols>
  <sheetData>
    <row r="1" spans="1:12">
      <c r="A1" s="15" t="s">
        <v>23</v>
      </c>
      <c r="B1" s="6" t="str" cm="1">
        <f ca="1" t="array" ref="B1">IF(SUM(COUNTIF(INDIRECT({"$F$2","$L$2","$H$28","$Q$28","$Z$8"}),"="&amp;IncompleteText)),IncompleteText,IF(SUM(COUNTIF(INDIRECT({"$F$2","$L$2","$H$28","$Q$28","$Z$8"}),"="&amp;ErrorText)),ErrorText,OKText))</f>
        <v>BLANK</v>
      </c>
      <c r="C1" s="16"/>
      <c r="D1" s="16"/>
      <c r="E1" s="16"/>
      <c r="F1" s="16"/>
      <c r="G1" s="16"/>
      <c r="H1" s="16"/>
      <c r="I1" s="16"/>
      <c r="J1" s="16"/>
      <c r="K1" s="16"/>
      <c r="L1" s="16"/>
    </row>
    <row r="2" spans="1:12">
      <c r="A2" s="7" t="s">
        <v>456</v>
      </c>
      <c r="B2" s="7"/>
      <c r="C2" s="7"/>
      <c r="D2" s="7"/>
      <c r="E2" s="7"/>
      <c r="F2" s="6" t="str">
        <f>IF(COUNTIF(F3:F7,"="&amp;IncompleteText),IncompleteText,IF(COUNTIF(F3:F7,"="&amp;ErrorText),ErrorText,OKText))</f>
        <v>BLANK</v>
      </c>
      <c r="G2" s="7" t="s">
        <v>125</v>
      </c>
      <c r="H2" s="7"/>
      <c r="I2" s="7"/>
      <c r="J2" s="7"/>
      <c r="K2" s="7"/>
      <c r="L2" s="6" t="str">
        <f>IF(COUNTIF(L3:L5,"="&amp;IncompleteText),IncompleteText,IF(COUNTIF(L3:L5,"="&amp;ErrorText),ErrorText,OKText))</f>
        <v>BLANK</v>
      </c>
    </row>
    <row r="3" spans="1:12">
      <c r="A3" s="5" t="s">
        <v>25</v>
      </c>
      <c r="B3" s="5"/>
      <c r="C3" s="17"/>
      <c r="D3" s="18"/>
      <c r="E3" s="19"/>
      <c r="F3" s="6" t="str">
        <f>IF(ISBLANK(D3),IncompleteText,OKText)</f>
        <v>BLANK</v>
      </c>
      <c r="G3" s="15" t="s">
        <v>25</v>
      </c>
      <c r="H3" s="15"/>
      <c r="I3" s="27"/>
      <c r="J3" s="18"/>
      <c r="K3" s="19"/>
      <c r="L3" s="6" t="str">
        <f>IF(ISBLANK(J3),IncompleteText,OKText)</f>
        <v>BLANK</v>
      </c>
    </row>
    <row r="4" spans="1:12">
      <c r="A4" s="5" t="s">
        <v>167</v>
      </c>
      <c r="B4" s="5"/>
      <c r="C4" s="5"/>
      <c r="D4" s="20"/>
      <c r="E4" s="20"/>
      <c r="F4" s="6" t="str">
        <f>IF(ISBLANK(D4),IncompleteText,OKText)</f>
        <v>BLANK</v>
      </c>
      <c r="G4" s="15" t="s">
        <v>167</v>
      </c>
      <c r="H4" s="15"/>
      <c r="I4" s="15"/>
      <c r="J4" s="20"/>
      <c r="K4" s="20"/>
      <c r="L4" s="6" t="str">
        <f>IF(ISBLANK(J4),IncompleteText,OKText)</f>
        <v>BLANK</v>
      </c>
    </row>
    <row r="5" spans="1:12">
      <c r="A5" s="5" t="s">
        <v>457</v>
      </c>
      <c r="B5" s="5"/>
      <c r="C5" s="17"/>
      <c r="D5" s="20"/>
      <c r="E5" s="20"/>
      <c r="F5" s="6" t="str">
        <f>IF(ISBLANK(D5),IncompleteText,OKText)</f>
        <v>BLANK</v>
      </c>
      <c r="G5" s="21" t="s">
        <v>458</v>
      </c>
      <c r="H5" s="21"/>
      <c r="I5" s="31"/>
      <c r="J5" s="20"/>
      <c r="K5" s="20"/>
      <c r="L5" s="6" t="str">
        <f>IF(ISBLANK(J5),IncompleteText,OKText)</f>
        <v>BLANK</v>
      </c>
    </row>
    <row r="6" spans="1:7">
      <c r="A6" s="22" t="s">
        <v>459</v>
      </c>
      <c r="B6" s="22"/>
      <c r="C6" s="22"/>
      <c r="D6" s="23"/>
      <c r="E6" s="24" t="s">
        <v>18</v>
      </c>
      <c r="F6" s="6" t="str">
        <f>IF(ISBLANK(D6),IncompleteText,IF(D6&lt;MaxTSVoltage,ErrorText,OKText))</f>
        <v>BLANK</v>
      </c>
      <c r="G6" t="s">
        <v>460</v>
      </c>
    </row>
    <row r="7" spans="1:6">
      <c r="A7" s="22"/>
      <c r="B7" s="22"/>
      <c r="C7" s="22"/>
      <c r="D7" s="25"/>
      <c r="E7" s="26"/>
      <c r="F7" s="6"/>
    </row>
    <row r="8" spans="19:43">
      <c r="S8" s="7" t="s">
        <v>461</v>
      </c>
      <c r="T8" s="7"/>
      <c r="U8" s="7"/>
      <c r="V8" s="7"/>
      <c r="W8" s="7"/>
      <c r="X8" s="7"/>
      <c r="Y8" s="7"/>
      <c r="Z8" s="6" t="e" cm="1">
        <f ca="1" t="array" ref="Z8">IF(SUM(COUNTIF(INDIRECT({"其他!$Z$28","其他!$Z$30","其他!$AI$28"}),"="&amp;IncompleteText)),IncompleteText,IF(SUM(COUNTIF(INDIRECT({"其他!$Z$28","其他!$Z$30","其他!$AI$28"}),"="&amp;ErrorText)),ErrorText,OKText))</f>
        <v>#VALUE!</v>
      </c>
      <c r="AK8" s="7" t="s">
        <v>246</v>
      </c>
      <c r="AL8" s="7"/>
      <c r="AM8" s="7"/>
      <c r="AN8" s="7"/>
      <c r="AO8" s="7"/>
      <c r="AP8" s="7"/>
      <c r="AQ8" s="7"/>
    </row>
    <row r="9" spans="1:44">
      <c r="A9" s="14" t="s">
        <v>462</v>
      </c>
      <c r="B9" s="14"/>
      <c r="C9" s="14"/>
      <c r="D9" s="14"/>
      <c r="E9" s="14"/>
      <c r="F9" s="14"/>
      <c r="G9" s="14"/>
      <c r="H9" s="14"/>
      <c r="J9" s="14" t="s">
        <v>463</v>
      </c>
      <c r="K9" s="14"/>
      <c r="L9" s="14"/>
      <c r="M9" s="14"/>
      <c r="N9" s="14"/>
      <c r="O9" s="14"/>
      <c r="P9" s="14"/>
      <c r="Q9" s="14"/>
      <c r="S9" s="14" t="s">
        <v>464</v>
      </c>
      <c r="T9" s="14"/>
      <c r="U9" s="14"/>
      <c r="V9" s="14"/>
      <c r="W9" s="14"/>
      <c r="X9" s="14"/>
      <c r="Y9" s="14"/>
      <c r="Z9" s="14"/>
      <c r="AB9" s="32" t="s">
        <v>465</v>
      </c>
      <c r="AC9" s="32"/>
      <c r="AD9" s="32"/>
      <c r="AE9" s="32"/>
      <c r="AF9" s="32"/>
      <c r="AG9" s="32"/>
      <c r="AH9" s="32"/>
      <c r="AI9" s="32"/>
      <c r="AK9" s="14"/>
      <c r="AL9" s="14"/>
      <c r="AM9" s="14"/>
      <c r="AN9" s="14"/>
      <c r="AO9" s="14"/>
      <c r="AP9" s="14"/>
      <c r="AQ9" s="14"/>
      <c r="AR9" s="14"/>
    </row>
    <row r="10" spans="1:44">
      <c r="A10" s="14"/>
      <c r="B10" s="14"/>
      <c r="C10" s="14"/>
      <c r="D10" s="14"/>
      <c r="E10" s="14"/>
      <c r="F10" s="14"/>
      <c r="G10" s="14"/>
      <c r="H10" s="14"/>
      <c r="J10" s="14"/>
      <c r="K10" s="14"/>
      <c r="L10" s="14"/>
      <c r="M10" s="14"/>
      <c r="N10" s="14"/>
      <c r="O10" s="14"/>
      <c r="P10" s="14"/>
      <c r="Q10" s="14"/>
      <c r="S10" s="14"/>
      <c r="T10" s="14"/>
      <c r="U10" s="14"/>
      <c r="V10" s="14"/>
      <c r="W10" s="14"/>
      <c r="X10" s="14"/>
      <c r="Y10" s="14"/>
      <c r="Z10" s="14"/>
      <c r="AB10" s="32"/>
      <c r="AC10" s="32"/>
      <c r="AD10" s="32"/>
      <c r="AE10" s="32"/>
      <c r="AF10" s="32"/>
      <c r="AG10" s="32"/>
      <c r="AH10" s="32"/>
      <c r="AI10" s="32"/>
      <c r="AK10" s="14"/>
      <c r="AL10" s="14"/>
      <c r="AM10" s="14"/>
      <c r="AN10" s="14"/>
      <c r="AO10" s="14"/>
      <c r="AP10" s="14"/>
      <c r="AQ10" s="14"/>
      <c r="AR10" s="14"/>
    </row>
    <row r="11" spans="1:44">
      <c r="A11" s="14"/>
      <c r="B11" s="14"/>
      <c r="C11" s="14"/>
      <c r="D11" s="14"/>
      <c r="E11" s="14"/>
      <c r="F11" s="14"/>
      <c r="G11" s="14"/>
      <c r="H11" s="14"/>
      <c r="J11" s="14"/>
      <c r="K11" s="14"/>
      <c r="L11" s="14"/>
      <c r="M11" s="14"/>
      <c r="N11" s="14"/>
      <c r="O11" s="14"/>
      <c r="P11" s="14"/>
      <c r="Q11" s="14"/>
      <c r="S11" s="14"/>
      <c r="T11" s="14"/>
      <c r="U11" s="14"/>
      <c r="V11" s="14"/>
      <c r="W11" s="14"/>
      <c r="X11" s="14"/>
      <c r="Y11" s="14"/>
      <c r="Z11" s="14"/>
      <c r="AB11" s="32"/>
      <c r="AC11" s="32"/>
      <c r="AD11" s="32"/>
      <c r="AE11" s="32"/>
      <c r="AF11" s="32"/>
      <c r="AG11" s="32"/>
      <c r="AH11" s="32"/>
      <c r="AI11" s="32"/>
      <c r="AK11" s="14"/>
      <c r="AL11" s="14"/>
      <c r="AM11" s="14"/>
      <c r="AN11" s="14"/>
      <c r="AO11" s="14"/>
      <c r="AP11" s="14"/>
      <c r="AQ11" s="14"/>
      <c r="AR11" s="14"/>
    </row>
    <row r="12" spans="1:44">
      <c r="A12" s="14"/>
      <c r="B12" s="14"/>
      <c r="C12" s="14"/>
      <c r="D12" s="14"/>
      <c r="E12" s="14"/>
      <c r="F12" s="14"/>
      <c r="G12" s="14"/>
      <c r="H12" s="14"/>
      <c r="J12" s="14"/>
      <c r="K12" s="14"/>
      <c r="L12" s="14"/>
      <c r="M12" s="14"/>
      <c r="N12" s="14"/>
      <c r="O12" s="14"/>
      <c r="P12" s="14"/>
      <c r="Q12" s="14"/>
      <c r="S12" s="14"/>
      <c r="T12" s="14"/>
      <c r="U12" s="14"/>
      <c r="V12" s="14"/>
      <c r="W12" s="14"/>
      <c r="X12" s="14"/>
      <c r="Y12" s="14"/>
      <c r="Z12" s="14"/>
      <c r="AB12" s="32"/>
      <c r="AC12" s="32"/>
      <c r="AD12" s="32"/>
      <c r="AE12" s="32"/>
      <c r="AF12" s="32"/>
      <c r="AG12" s="32"/>
      <c r="AH12" s="32"/>
      <c r="AI12" s="32"/>
      <c r="AK12" s="14"/>
      <c r="AL12" s="14"/>
      <c r="AM12" s="14"/>
      <c r="AN12" s="14"/>
      <c r="AO12" s="14"/>
      <c r="AP12" s="14"/>
      <c r="AQ12" s="14"/>
      <c r="AR12" s="14"/>
    </row>
    <row r="13" spans="1:44">
      <c r="A13" s="14"/>
      <c r="B13" s="14"/>
      <c r="C13" s="14"/>
      <c r="D13" s="14"/>
      <c r="E13" s="14"/>
      <c r="F13" s="14"/>
      <c r="G13" s="14"/>
      <c r="H13" s="14"/>
      <c r="J13" s="14"/>
      <c r="K13" s="14"/>
      <c r="L13" s="14"/>
      <c r="M13" s="14"/>
      <c r="N13" s="14"/>
      <c r="O13" s="14"/>
      <c r="P13" s="14"/>
      <c r="Q13" s="14"/>
      <c r="S13" s="14"/>
      <c r="T13" s="14"/>
      <c r="U13" s="14"/>
      <c r="V13" s="14"/>
      <c r="W13" s="14"/>
      <c r="X13" s="14"/>
      <c r="Y13" s="14"/>
      <c r="Z13" s="14"/>
      <c r="AB13" s="32"/>
      <c r="AC13" s="32"/>
      <c r="AD13" s="32"/>
      <c r="AE13" s="32"/>
      <c r="AF13" s="32"/>
      <c r="AG13" s="32"/>
      <c r="AH13" s="32"/>
      <c r="AI13" s="32"/>
      <c r="AK13" s="14"/>
      <c r="AL13" s="14"/>
      <c r="AM13" s="14"/>
      <c r="AN13" s="14"/>
      <c r="AO13" s="14"/>
      <c r="AP13" s="14"/>
      <c r="AQ13" s="14"/>
      <c r="AR13" s="14"/>
    </row>
    <row r="14" spans="1:44">
      <c r="A14" s="14"/>
      <c r="B14" s="14"/>
      <c r="C14" s="14"/>
      <c r="D14" s="14"/>
      <c r="E14" s="14"/>
      <c r="F14" s="14"/>
      <c r="G14" s="14"/>
      <c r="H14" s="14"/>
      <c r="J14" s="14"/>
      <c r="K14" s="14"/>
      <c r="L14" s="14"/>
      <c r="M14" s="14"/>
      <c r="N14" s="14"/>
      <c r="O14" s="14"/>
      <c r="P14" s="14"/>
      <c r="Q14" s="14"/>
      <c r="S14" s="14"/>
      <c r="T14" s="14"/>
      <c r="U14" s="14"/>
      <c r="V14" s="14"/>
      <c r="W14" s="14"/>
      <c r="X14" s="14"/>
      <c r="Y14" s="14"/>
      <c r="Z14" s="14"/>
      <c r="AB14" s="32"/>
      <c r="AC14" s="32"/>
      <c r="AD14" s="32"/>
      <c r="AE14" s="32"/>
      <c r="AF14" s="32"/>
      <c r="AG14" s="32"/>
      <c r="AH14" s="32"/>
      <c r="AI14" s="32"/>
      <c r="AK14" s="14"/>
      <c r="AL14" s="14"/>
      <c r="AM14" s="14"/>
      <c r="AN14" s="14"/>
      <c r="AO14" s="14"/>
      <c r="AP14" s="14"/>
      <c r="AQ14" s="14"/>
      <c r="AR14" s="14"/>
    </row>
    <row r="15" spans="1:44">
      <c r="A15" s="14"/>
      <c r="B15" s="14"/>
      <c r="C15" s="14"/>
      <c r="D15" s="14"/>
      <c r="E15" s="14"/>
      <c r="F15" s="14"/>
      <c r="G15" s="14"/>
      <c r="H15" s="14"/>
      <c r="J15" s="14"/>
      <c r="K15" s="14"/>
      <c r="L15" s="14"/>
      <c r="M15" s="14"/>
      <c r="N15" s="14"/>
      <c r="O15" s="14"/>
      <c r="P15" s="14"/>
      <c r="Q15" s="14"/>
      <c r="S15" s="14"/>
      <c r="T15" s="14"/>
      <c r="U15" s="14"/>
      <c r="V15" s="14"/>
      <c r="W15" s="14"/>
      <c r="X15" s="14"/>
      <c r="Y15" s="14"/>
      <c r="Z15" s="14"/>
      <c r="AB15" s="32"/>
      <c r="AC15" s="32"/>
      <c r="AD15" s="32"/>
      <c r="AE15" s="32"/>
      <c r="AF15" s="32"/>
      <c r="AG15" s="32"/>
      <c r="AH15" s="32"/>
      <c r="AI15" s="32"/>
      <c r="AK15" s="14"/>
      <c r="AL15" s="14"/>
      <c r="AM15" s="14"/>
      <c r="AN15" s="14"/>
      <c r="AO15" s="14"/>
      <c r="AP15" s="14"/>
      <c r="AQ15" s="14"/>
      <c r="AR15" s="14"/>
    </row>
    <row r="16" spans="1:44">
      <c r="A16" s="14"/>
      <c r="B16" s="14"/>
      <c r="C16" s="14"/>
      <c r="D16" s="14"/>
      <c r="E16" s="14"/>
      <c r="F16" s="14"/>
      <c r="G16" s="14"/>
      <c r="H16" s="14"/>
      <c r="J16" s="14"/>
      <c r="K16" s="14"/>
      <c r="L16" s="14"/>
      <c r="M16" s="14"/>
      <c r="N16" s="14"/>
      <c r="O16" s="14"/>
      <c r="P16" s="14"/>
      <c r="Q16" s="14"/>
      <c r="S16" s="14"/>
      <c r="T16" s="14"/>
      <c r="U16" s="14"/>
      <c r="V16" s="14"/>
      <c r="W16" s="14"/>
      <c r="X16" s="14"/>
      <c r="Y16" s="14"/>
      <c r="Z16" s="14"/>
      <c r="AB16" s="32"/>
      <c r="AC16" s="32"/>
      <c r="AD16" s="32"/>
      <c r="AE16" s="32"/>
      <c r="AF16" s="32"/>
      <c r="AG16" s="32"/>
      <c r="AH16" s="32"/>
      <c r="AI16" s="32"/>
      <c r="AK16" s="14"/>
      <c r="AL16" s="14"/>
      <c r="AM16" s="14"/>
      <c r="AN16" s="14"/>
      <c r="AO16" s="14"/>
      <c r="AP16" s="14"/>
      <c r="AQ16" s="14"/>
      <c r="AR16" s="14"/>
    </row>
    <row r="17" spans="1:44">
      <c r="A17" s="14"/>
      <c r="B17" s="14"/>
      <c r="C17" s="14"/>
      <c r="D17" s="14"/>
      <c r="E17" s="14"/>
      <c r="F17" s="14"/>
      <c r="G17" s="14"/>
      <c r="H17" s="14"/>
      <c r="J17" s="14"/>
      <c r="K17" s="14"/>
      <c r="L17" s="14"/>
      <c r="M17" s="14"/>
      <c r="N17" s="14"/>
      <c r="O17" s="14"/>
      <c r="P17" s="14"/>
      <c r="Q17" s="14"/>
      <c r="S17" s="14"/>
      <c r="T17" s="14"/>
      <c r="U17" s="14"/>
      <c r="V17" s="14"/>
      <c r="W17" s="14"/>
      <c r="X17" s="14"/>
      <c r="Y17" s="14"/>
      <c r="Z17" s="14"/>
      <c r="AB17" s="32"/>
      <c r="AC17" s="32"/>
      <c r="AD17" s="32"/>
      <c r="AE17" s="32"/>
      <c r="AF17" s="32"/>
      <c r="AG17" s="32"/>
      <c r="AH17" s="32"/>
      <c r="AI17" s="32"/>
      <c r="AK17" s="14"/>
      <c r="AL17" s="14"/>
      <c r="AM17" s="14"/>
      <c r="AN17" s="14"/>
      <c r="AO17" s="14"/>
      <c r="AP17" s="14"/>
      <c r="AQ17" s="14"/>
      <c r="AR17" s="14"/>
    </row>
    <row r="18" spans="1:44">
      <c r="A18" s="14"/>
      <c r="B18" s="14"/>
      <c r="C18" s="14"/>
      <c r="D18" s="14"/>
      <c r="E18" s="14"/>
      <c r="F18" s="14"/>
      <c r="G18" s="14"/>
      <c r="H18" s="14"/>
      <c r="J18" s="14"/>
      <c r="K18" s="14"/>
      <c r="L18" s="14"/>
      <c r="M18" s="14"/>
      <c r="N18" s="14"/>
      <c r="O18" s="14"/>
      <c r="P18" s="14"/>
      <c r="Q18" s="14"/>
      <c r="S18" s="14"/>
      <c r="T18" s="14"/>
      <c r="U18" s="14"/>
      <c r="V18" s="14"/>
      <c r="W18" s="14"/>
      <c r="X18" s="14"/>
      <c r="Y18" s="14"/>
      <c r="Z18" s="14"/>
      <c r="AB18" s="32"/>
      <c r="AC18" s="32"/>
      <c r="AD18" s="32"/>
      <c r="AE18" s="32"/>
      <c r="AF18" s="32"/>
      <c r="AG18" s="32"/>
      <c r="AH18" s="32"/>
      <c r="AI18" s="32"/>
      <c r="AK18" s="14"/>
      <c r="AL18" s="14"/>
      <c r="AM18" s="14"/>
      <c r="AN18" s="14"/>
      <c r="AO18" s="14"/>
      <c r="AP18" s="14"/>
      <c r="AQ18" s="14"/>
      <c r="AR18" s="14"/>
    </row>
    <row r="19" spans="1:44">
      <c r="A19" s="14"/>
      <c r="B19" s="14"/>
      <c r="C19" s="14"/>
      <c r="D19" s="14"/>
      <c r="E19" s="14"/>
      <c r="F19" s="14"/>
      <c r="G19" s="14"/>
      <c r="H19" s="14"/>
      <c r="J19" s="14"/>
      <c r="K19" s="14"/>
      <c r="L19" s="14"/>
      <c r="M19" s="14"/>
      <c r="N19" s="14"/>
      <c r="O19" s="14"/>
      <c r="P19" s="14"/>
      <c r="Q19" s="14"/>
      <c r="S19" s="14"/>
      <c r="T19" s="14"/>
      <c r="U19" s="14"/>
      <c r="V19" s="14"/>
      <c r="W19" s="14"/>
      <c r="X19" s="14"/>
      <c r="Y19" s="14"/>
      <c r="Z19" s="14"/>
      <c r="AB19" s="32"/>
      <c r="AC19" s="32"/>
      <c r="AD19" s="32"/>
      <c r="AE19" s="32"/>
      <c r="AF19" s="32"/>
      <c r="AG19" s="32"/>
      <c r="AH19" s="32"/>
      <c r="AI19" s="32"/>
      <c r="AK19" s="14"/>
      <c r="AL19" s="14"/>
      <c r="AM19" s="14"/>
      <c r="AN19" s="14"/>
      <c r="AO19" s="14"/>
      <c r="AP19" s="14"/>
      <c r="AQ19" s="14"/>
      <c r="AR19" s="14"/>
    </row>
    <row r="20" spans="1:44">
      <c r="A20" s="14"/>
      <c r="B20" s="14"/>
      <c r="C20" s="14"/>
      <c r="D20" s="14"/>
      <c r="E20" s="14"/>
      <c r="F20" s="14"/>
      <c r="G20" s="14"/>
      <c r="H20" s="14"/>
      <c r="J20" s="14"/>
      <c r="K20" s="14"/>
      <c r="L20" s="14"/>
      <c r="M20" s="14"/>
      <c r="N20" s="14"/>
      <c r="O20" s="14"/>
      <c r="P20" s="14"/>
      <c r="Q20" s="14"/>
      <c r="S20" s="14"/>
      <c r="T20" s="14"/>
      <c r="U20" s="14"/>
      <c r="V20" s="14"/>
      <c r="W20" s="14"/>
      <c r="X20" s="14"/>
      <c r="Y20" s="14"/>
      <c r="Z20" s="14"/>
      <c r="AB20" s="32"/>
      <c r="AC20" s="32"/>
      <c r="AD20" s="32"/>
      <c r="AE20" s="32"/>
      <c r="AF20" s="32"/>
      <c r="AG20" s="32"/>
      <c r="AH20" s="32"/>
      <c r="AI20" s="32"/>
      <c r="AK20" s="14"/>
      <c r="AL20" s="14"/>
      <c r="AM20" s="14"/>
      <c r="AN20" s="14"/>
      <c r="AO20" s="14"/>
      <c r="AP20" s="14"/>
      <c r="AQ20" s="14"/>
      <c r="AR20" s="14"/>
    </row>
    <row r="21" spans="1:44">
      <c r="A21" s="14"/>
      <c r="B21" s="14"/>
      <c r="C21" s="14"/>
      <c r="D21" s="14"/>
      <c r="E21" s="14"/>
      <c r="F21" s="14"/>
      <c r="G21" s="14"/>
      <c r="H21" s="14"/>
      <c r="J21" s="14"/>
      <c r="K21" s="14"/>
      <c r="L21" s="14"/>
      <c r="M21" s="14"/>
      <c r="N21" s="14"/>
      <c r="O21" s="14"/>
      <c r="P21" s="14"/>
      <c r="Q21" s="14"/>
      <c r="S21" s="14"/>
      <c r="T21" s="14"/>
      <c r="U21" s="14"/>
      <c r="V21" s="14"/>
      <c r="W21" s="14"/>
      <c r="X21" s="14"/>
      <c r="Y21" s="14"/>
      <c r="Z21" s="14"/>
      <c r="AB21" s="32"/>
      <c r="AC21" s="32"/>
      <c r="AD21" s="32"/>
      <c r="AE21" s="32"/>
      <c r="AF21" s="32"/>
      <c r="AG21" s="32"/>
      <c r="AH21" s="32"/>
      <c r="AI21" s="32"/>
      <c r="AK21" s="14"/>
      <c r="AL21" s="14"/>
      <c r="AM21" s="14"/>
      <c r="AN21" s="14"/>
      <c r="AO21" s="14"/>
      <c r="AP21" s="14"/>
      <c r="AQ21" s="14"/>
      <c r="AR21" s="14"/>
    </row>
    <row r="22" spans="1:44">
      <c r="A22" s="14"/>
      <c r="B22" s="14"/>
      <c r="C22" s="14"/>
      <c r="D22" s="14"/>
      <c r="E22" s="14"/>
      <c r="F22" s="14"/>
      <c r="G22" s="14"/>
      <c r="H22" s="14"/>
      <c r="J22" s="14"/>
      <c r="K22" s="14"/>
      <c r="L22" s="14"/>
      <c r="M22" s="14"/>
      <c r="N22" s="14"/>
      <c r="O22" s="14"/>
      <c r="P22" s="14"/>
      <c r="Q22" s="14"/>
      <c r="S22" s="14"/>
      <c r="T22" s="14"/>
      <c r="U22" s="14"/>
      <c r="V22" s="14"/>
      <c r="W22" s="14"/>
      <c r="X22" s="14"/>
      <c r="Y22" s="14"/>
      <c r="Z22" s="14"/>
      <c r="AB22" s="32"/>
      <c r="AC22" s="32"/>
      <c r="AD22" s="32"/>
      <c r="AE22" s="32"/>
      <c r="AF22" s="32"/>
      <c r="AG22" s="32"/>
      <c r="AH22" s="32"/>
      <c r="AI22" s="32"/>
      <c r="AK22" s="14"/>
      <c r="AL22" s="14"/>
      <c r="AM22" s="14"/>
      <c r="AN22" s="14"/>
      <c r="AO22" s="14"/>
      <c r="AP22" s="14"/>
      <c r="AQ22" s="14"/>
      <c r="AR22" s="14"/>
    </row>
    <row r="23" spans="1:44">
      <c r="A23" s="14"/>
      <c r="B23" s="14"/>
      <c r="C23" s="14"/>
      <c r="D23" s="14"/>
      <c r="E23" s="14"/>
      <c r="F23" s="14"/>
      <c r="G23" s="14"/>
      <c r="H23" s="14"/>
      <c r="J23" s="14"/>
      <c r="K23" s="14"/>
      <c r="L23" s="14"/>
      <c r="M23" s="14"/>
      <c r="N23" s="14"/>
      <c r="O23" s="14"/>
      <c r="P23" s="14"/>
      <c r="Q23" s="14"/>
      <c r="S23" s="14"/>
      <c r="T23" s="14"/>
      <c r="U23" s="14"/>
      <c r="V23" s="14"/>
      <c r="W23" s="14"/>
      <c r="X23" s="14"/>
      <c r="Y23" s="14"/>
      <c r="Z23" s="14"/>
      <c r="AB23" s="32"/>
      <c r="AC23" s="32"/>
      <c r="AD23" s="32"/>
      <c r="AE23" s="32"/>
      <c r="AF23" s="32"/>
      <c r="AG23" s="32"/>
      <c r="AH23" s="32"/>
      <c r="AI23" s="32"/>
      <c r="AK23" s="14"/>
      <c r="AL23" s="14"/>
      <c r="AM23" s="14"/>
      <c r="AN23" s="14"/>
      <c r="AO23" s="14"/>
      <c r="AP23" s="14"/>
      <c r="AQ23" s="14"/>
      <c r="AR23" s="14"/>
    </row>
    <row r="24" spans="1:44">
      <c r="A24" s="14"/>
      <c r="B24" s="14"/>
      <c r="C24" s="14"/>
      <c r="D24" s="14"/>
      <c r="E24" s="14"/>
      <c r="F24" s="14"/>
      <c r="G24" s="14"/>
      <c r="H24" s="14"/>
      <c r="J24" s="14"/>
      <c r="K24" s="14"/>
      <c r="L24" s="14"/>
      <c r="M24" s="14"/>
      <c r="N24" s="14"/>
      <c r="O24" s="14"/>
      <c r="P24" s="14"/>
      <c r="Q24" s="14"/>
      <c r="S24" s="14"/>
      <c r="T24" s="14"/>
      <c r="U24" s="14"/>
      <c r="V24" s="14"/>
      <c r="W24" s="14"/>
      <c r="X24" s="14"/>
      <c r="Y24" s="14"/>
      <c r="Z24" s="14"/>
      <c r="AB24" s="32"/>
      <c r="AC24" s="32"/>
      <c r="AD24" s="32"/>
      <c r="AE24" s="32"/>
      <c r="AF24" s="32"/>
      <c r="AG24" s="32"/>
      <c r="AH24" s="32"/>
      <c r="AI24" s="32"/>
      <c r="AK24" s="14"/>
      <c r="AL24" s="14"/>
      <c r="AM24" s="14"/>
      <c r="AN24" s="14"/>
      <c r="AO24" s="14"/>
      <c r="AP24" s="14"/>
      <c r="AQ24" s="14"/>
      <c r="AR24" s="14"/>
    </row>
    <row r="25" spans="1:44">
      <c r="A25" s="14"/>
      <c r="B25" s="14"/>
      <c r="C25" s="14"/>
      <c r="D25" s="14"/>
      <c r="E25" s="14"/>
      <c r="F25" s="14"/>
      <c r="G25" s="14"/>
      <c r="H25" s="14"/>
      <c r="J25" s="14"/>
      <c r="K25" s="14"/>
      <c r="L25" s="14"/>
      <c r="M25" s="14"/>
      <c r="N25" s="14"/>
      <c r="O25" s="14"/>
      <c r="P25" s="14"/>
      <c r="Q25" s="14"/>
      <c r="S25" s="14"/>
      <c r="T25" s="14"/>
      <c r="U25" s="14"/>
      <c r="V25" s="14"/>
      <c r="W25" s="14"/>
      <c r="X25" s="14"/>
      <c r="Y25" s="14"/>
      <c r="Z25" s="14"/>
      <c r="AB25" s="32"/>
      <c r="AC25" s="32"/>
      <c r="AD25" s="32"/>
      <c r="AE25" s="32"/>
      <c r="AF25" s="32"/>
      <c r="AG25" s="32"/>
      <c r="AH25" s="32"/>
      <c r="AI25" s="32"/>
      <c r="AK25" s="14"/>
      <c r="AL25" s="14"/>
      <c r="AM25" s="14"/>
      <c r="AN25" s="14"/>
      <c r="AO25" s="14"/>
      <c r="AP25" s="14"/>
      <c r="AQ25" s="14"/>
      <c r="AR25" s="14"/>
    </row>
    <row r="26" spans="1:44">
      <c r="A26" s="14"/>
      <c r="B26" s="14"/>
      <c r="C26" s="14"/>
      <c r="D26" s="14"/>
      <c r="E26" s="14"/>
      <c r="F26" s="14"/>
      <c r="G26" s="14"/>
      <c r="H26" s="14"/>
      <c r="J26" s="14"/>
      <c r="K26" s="14"/>
      <c r="L26" s="14"/>
      <c r="M26" s="14"/>
      <c r="N26" s="14"/>
      <c r="O26" s="14"/>
      <c r="P26" s="14"/>
      <c r="Q26" s="14"/>
      <c r="S26" s="14"/>
      <c r="T26" s="14"/>
      <c r="U26" s="14"/>
      <c r="V26" s="14"/>
      <c r="W26" s="14"/>
      <c r="X26" s="14"/>
      <c r="Y26" s="14"/>
      <c r="Z26" s="14"/>
      <c r="AB26" s="32"/>
      <c r="AC26" s="32"/>
      <c r="AD26" s="32"/>
      <c r="AE26" s="32"/>
      <c r="AF26" s="32"/>
      <c r="AG26" s="32"/>
      <c r="AH26" s="32"/>
      <c r="AI26" s="32"/>
      <c r="AK26" s="14"/>
      <c r="AL26" s="14"/>
      <c r="AM26" s="14"/>
      <c r="AN26" s="14"/>
      <c r="AO26" s="14"/>
      <c r="AP26" s="14"/>
      <c r="AQ26" s="14"/>
      <c r="AR26" s="14"/>
    </row>
    <row r="27" spans="1:44">
      <c r="A27" s="14"/>
      <c r="B27" s="14"/>
      <c r="C27" s="14"/>
      <c r="D27" s="14"/>
      <c r="E27" s="14"/>
      <c r="F27" s="14"/>
      <c r="G27" s="14"/>
      <c r="H27" s="14"/>
      <c r="J27" s="14"/>
      <c r="K27" s="14"/>
      <c r="L27" s="14"/>
      <c r="M27" s="14"/>
      <c r="N27" s="14"/>
      <c r="O27" s="14"/>
      <c r="P27" s="14"/>
      <c r="Q27" s="14"/>
      <c r="S27" s="14"/>
      <c r="T27" s="14"/>
      <c r="U27" s="14"/>
      <c r="V27" s="14"/>
      <c r="W27" s="14"/>
      <c r="X27" s="14"/>
      <c r="Y27" s="14"/>
      <c r="Z27" s="14"/>
      <c r="AB27" s="32"/>
      <c r="AC27" s="32"/>
      <c r="AD27" s="32"/>
      <c r="AE27" s="32"/>
      <c r="AF27" s="32"/>
      <c r="AG27" s="32"/>
      <c r="AH27" s="32"/>
      <c r="AI27" s="32"/>
      <c r="AK27" s="14"/>
      <c r="AL27" s="14"/>
      <c r="AM27" s="14"/>
      <c r="AN27" s="14"/>
      <c r="AO27" s="14"/>
      <c r="AP27" s="14"/>
      <c r="AQ27" s="14"/>
      <c r="AR27" s="14"/>
    </row>
    <row r="28" spans="1:35">
      <c r="A28" s="7" t="s">
        <v>462</v>
      </c>
      <c r="B28" s="7"/>
      <c r="C28" s="7"/>
      <c r="D28" s="7"/>
      <c r="E28" s="7"/>
      <c r="F28" s="7"/>
      <c r="G28" s="7"/>
      <c r="H28" s="6" t="str">
        <f>IF(COUNTIF(H29,"="&amp;IncompleteText),IncompleteText,IF(COUNTIF(H29,"="&amp;ErrorText),ErrorText,OKText))</f>
        <v>BLANK</v>
      </c>
      <c r="J28" s="7" t="s">
        <v>466</v>
      </c>
      <c r="K28" s="7"/>
      <c r="L28" s="7"/>
      <c r="M28" s="7"/>
      <c r="N28" s="7"/>
      <c r="O28" s="7"/>
      <c r="P28" s="7"/>
      <c r="Q28" s="6" t="str">
        <f>IF(COUNTIF(Q29,"="&amp;IncompleteText),IncompleteText,IF(COUNTIF(Q29,"="&amp;ErrorText),ErrorText,OKText))</f>
        <v>BLANK</v>
      </c>
      <c r="S28" s="7" t="s">
        <v>464</v>
      </c>
      <c r="T28" s="7"/>
      <c r="U28" s="7"/>
      <c r="V28" s="7"/>
      <c r="W28" s="7"/>
      <c r="X28" s="7"/>
      <c r="Y28" s="7"/>
      <c r="Z28" s="6" t="str">
        <f>IF(COUNTIF(Z29,"="&amp;IncompleteText),IncompleteText,IF(COUNTIF(Z29,"="&amp;ErrorText),ErrorText,OKText))</f>
        <v>BLANK</v>
      </c>
      <c r="AB28" s="7" t="s">
        <v>467</v>
      </c>
      <c r="AC28" s="7"/>
      <c r="AD28" s="7"/>
      <c r="AE28" s="7"/>
      <c r="AF28" s="7"/>
      <c r="AG28" s="7"/>
      <c r="AH28" s="7"/>
      <c r="AI28" s="6" t="str">
        <f>IF(Y32="其他锂电池 Other Li-ion",IF(COUNTIF(AI29:AI36,"="&amp;IncompleteText),IncompleteText,IF(COUNTIF(AI29:AI36,"="&amp;ErrorText),ErrorText,OKText)),OKText)</f>
        <v>OK</v>
      </c>
    </row>
    <row r="29" spans="1:35">
      <c r="A29" s="15" t="s">
        <v>468</v>
      </c>
      <c r="B29" s="15"/>
      <c r="C29" s="15"/>
      <c r="D29" s="15"/>
      <c r="E29" s="15"/>
      <c r="F29" s="27"/>
      <c r="G29" s="28"/>
      <c r="H29" s="6" t="str">
        <f>IF(ISBLANK(G29),IncompleteText,IF(G29,OKText,ErrorText))</f>
        <v>BLANK</v>
      </c>
      <c r="J29" s="15" t="s">
        <v>469</v>
      </c>
      <c r="K29" s="15"/>
      <c r="L29" s="15"/>
      <c r="M29" s="15"/>
      <c r="N29" s="15"/>
      <c r="O29" s="27"/>
      <c r="P29" s="28"/>
      <c r="Q29" s="6" t="str">
        <f>IF(ISBLANK(P29),IncompleteText,IF(P29,OKText,ErrorText))</f>
        <v>BLANK</v>
      </c>
      <c r="S29" s="15" t="s">
        <v>470</v>
      </c>
      <c r="T29" s="15"/>
      <c r="U29" s="15"/>
      <c r="V29" s="15"/>
      <c r="W29" s="15"/>
      <c r="X29" s="27"/>
      <c r="Y29" s="28"/>
      <c r="Z29" s="6" t="str">
        <f>IF(ISBLANK(Y29),IncompleteText,IF(Y29,OKText,ErrorText))</f>
        <v>BLANK</v>
      </c>
      <c r="AB29" s="5" t="s">
        <v>471</v>
      </c>
      <c r="AC29" s="5"/>
      <c r="AD29" s="5"/>
      <c r="AE29" s="5"/>
      <c r="AF29" s="5"/>
      <c r="AG29" s="5"/>
      <c r="AH29" s="28"/>
      <c r="AI29" s="6" t="str">
        <f>IF(ISBLANK(AH29),IncompleteText,OKText)</f>
        <v>BLANK</v>
      </c>
    </row>
    <row r="30" spans="1:35">
      <c r="A30" s="7" t="s">
        <v>472</v>
      </c>
      <c r="B30" s="7"/>
      <c r="C30" s="7"/>
      <c r="D30" s="7"/>
      <c r="E30" s="7"/>
      <c r="F30" s="7"/>
      <c r="G30" s="7"/>
      <c r="J30" s="7" t="s">
        <v>472</v>
      </c>
      <c r="K30" s="7"/>
      <c r="L30" s="7"/>
      <c r="M30" s="7"/>
      <c r="N30" s="7"/>
      <c r="O30" s="7"/>
      <c r="P30" s="7"/>
      <c r="S30" s="7" t="s">
        <v>473</v>
      </c>
      <c r="T30" s="7"/>
      <c r="U30" s="7"/>
      <c r="V30" s="7"/>
      <c r="W30" s="7"/>
      <c r="X30" s="7"/>
      <c r="Y30" s="7"/>
      <c r="Z30" s="6" t="str">
        <f>IF(COUNTIF(Z31:Z40,"="&amp;IncompleteText),IncompleteText,IF(COUNTIF(Z31:Z40,"="&amp;ErrorText),ErrorText,OKText))</f>
        <v>BLANK</v>
      </c>
      <c r="AB30" s="5" t="s">
        <v>474</v>
      </c>
      <c r="AC30" s="5"/>
      <c r="AD30" s="5"/>
      <c r="AE30" s="5"/>
      <c r="AF30" s="5"/>
      <c r="AG30" s="5"/>
      <c r="AH30" s="28"/>
      <c r="AI30" s="6" t="str">
        <f>IF(AH$29="车队自制",OKText,IF(ISBLANK(AH30),IncompleteText,OKText))</f>
        <v>BLANK</v>
      </c>
    </row>
    <row r="31" spans="1:35">
      <c r="A31" s="29"/>
      <c r="B31" s="30"/>
      <c r="C31" s="30"/>
      <c r="D31" s="30"/>
      <c r="E31" s="30"/>
      <c r="F31" s="30"/>
      <c r="G31" s="30"/>
      <c r="J31" s="29"/>
      <c r="K31" s="30"/>
      <c r="L31" s="30"/>
      <c r="M31" s="30"/>
      <c r="N31" s="30"/>
      <c r="O31" s="30"/>
      <c r="P31" s="30"/>
      <c r="S31" s="5" t="s">
        <v>475</v>
      </c>
      <c r="T31" s="5"/>
      <c r="U31" s="5"/>
      <c r="V31" s="5"/>
      <c r="W31" s="5"/>
      <c r="X31" s="5"/>
      <c r="Y31" s="28"/>
      <c r="Z31" s="6" t="str">
        <f>IF(ISBLANK(Y31),IncompleteText,OKText)</f>
        <v>BLANK</v>
      </c>
      <c r="AB31" s="5" t="s">
        <v>476</v>
      </c>
      <c r="AC31" s="5"/>
      <c r="AD31" s="5"/>
      <c r="AE31" s="5"/>
      <c r="AF31" s="5"/>
      <c r="AG31" s="5"/>
      <c r="AH31" s="28"/>
      <c r="AI31" s="6" t="str">
        <f>IF(AH$29="车队自制",OKText,IF(ISBLANK(AH31),IncompleteText,OKText))</f>
        <v>BLANK</v>
      </c>
    </row>
    <row r="32" ht="30.75" customHeight="1" spans="1:35">
      <c r="A32" s="29"/>
      <c r="B32" s="30"/>
      <c r="C32" s="30"/>
      <c r="D32" s="30"/>
      <c r="E32" s="30"/>
      <c r="F32" s="30"/>
      <c r="G32" s="30"/>
      <c r="J32" s="29"/>
      <c r="K32" s="30"/>
      <c r="L32" s="30"/>
      <c r="M32" s="30"/>
      <c r="N32" s="30"/>
      <c r="O32" s="30"/>
      <c r="P32" s="30"/>
      <c r="S32" s="5" t="s">
        <v>477</v>
      </c>
      <c r="T32" s="5"/>
      <c r="U32" s="5"/>
      <c r="V32" s="5"/>
      <c r="W32" s="5"/>
      <c r="X32" s="5"/>
      <c r="Y32" s="28" t="s">
        <v>478</v>
      </c>
      <c r="Z32" s="6" t="str">
        <f>IF(ISBLANK(Y32),IncompleteText,IF(Y32="非锂电池",IF(Z33=OKText,OKText,IncompleteText),OKText))</f>
        <v>OK</v>
      </c>
      <c r="AB32" s="33" t="s">
        <v>479</v>
      </c>
      <c r="AC32" s="33"/>
      <c r="AD32" s="33"/>
      <c r="AE32" s="33"/>
      <c r="AF32" s="33"/>
      <c r="AG32" s="33"/>
      <c r="AH32" s="28"/>
      <c r="AI32" s="6" t="str">
        <f>IF(AH$29="供应商提供",OKText,IF(ISBLANK(AH32),IncompleteText,IF(AH32,OKText,ErrorText)))</f>
        <v>BLANK</v>
      </c>
    </row>
    <row r="33" ht="36.75" customHeight="1" spans="1:35">
      <c r="A33" s="29"/>
      <c r="B33" s="30"/>
      <c r="C33" s="30"/>
      <c r="D33" s="30"/>
      <c r="E33" s="30"/>
      <c r="F33" s="30"/>
      <c r="G33" s="30"/>
      <c r="J33" s="29"/>
      <c r="K33" s="30"/>
      <c r="L33" s="30"/>
      <c r="M33" s="30"/>
      <c r="N33" s="30"/>
      <c r="O33" s="30"/>
      <c r="P33" s="30"/>
      <c r="S33" s="5" t="s">
        <v>480</v>
      </c>
      <c r="T33" s="5"/>
      <c r="U33" s="5"/>
      <c r="V33" s="5"/>
      <c r="W33" s="5"/>
      <c r="X33" s="5"/>
      <c r="Y33" s="28"/>
      <c r="Z33" s="6" t="str">
        <f>IF(Y32="非锂电池",IF(ISBLANK(Y33),IncompleteText,OKText),IF(ISBLANK(Y32),IncompleteText,OKText))</f>
        <v>OK</v>
      </c>
      <c r="AB33" s="33" t="s">
        <v>481</v>
      </c>
      <c r="AC33" s="33"/>
      <c r="AD33" s="33"/>
      <c r="AE33" s="33"/>
      <c r="AF33" s="33"/>
      <c r="AG33" s="35"/>
      <c r="AH33" s="28"/>
      <c r="AI33" s="6" t="str">
        <f>IF(ISBLANK(AH33),IncompleteText,IF(AH33,OKText,ErrorText))</f>
        <v>BLANK</v>
      </c>
    </row>
    <row r="34" spans="1:35">
      <c r="A34" s="29"/>
      <c r="B34" s="30"/>
      <c r="C34" s="30"/>
      <c r="D34" s="30"/>
      <c r="E34" s="30"/>
      <c r="F34" s="30"/>
      <c r="G34" s="30"/>
      <c r="J34" s="29"/>
      <c r="K34" s="30"/>
      <c r="L34" s="30"/>
      <c r="M34" s="30"/>
      <c r="N34" s="30"/>
      <c r="O34" s="30"/>
      <c r="P34" s="30"/>
      <c r="S34" s="5" t="s">
        <v>482</v>
      </c>
      <c r="T34" s="5"/>
      <c r="U34" s="5"/>
      <c r="V34" s="5"/>
      <c r="W34" s="5"/>
      <c r="X34" s="5"/>
      <c r="Y34" s="28"/>
      <c r="Z34" s="6" t="str">
        <f t="shared" ref="Z34:Z39" si="0">IF(ISBLANK(Y34),IncompleteText,OKText)</f>
        <v>BLANK</v>
      </c>
      <c r="AB34" s="5" t="s">
        <v>483</v>
      </c>
      <c r="AC34" s="5"/>
      <c r="AD34" s="5"/>
      <c r="AE34" s="5"/>
      <c r="AF34" s="5"/>
      <c r="AG34" s="5"/>
      <c r="AH34" s="28"/>
      <c r="AI34" s="6" t="str">
        <f>IF(ISBLANK(AH34),IncompleteText,IF(AH34&gt;=30,OKText,ErrorText))</f>
        <v>BLANK</v>
      </c>
    </row>
    <row r="35" spans="19:35">
      <c r="S35" s="5" t="s">
        <v>484</v>
      </c>
      <c r="T35" s="5"/>
      <c r="U35" s="5"/>
      <c r="V35" s="5"/>
      <c r="W35" s="5"/>
      <c r="X35" s="5"/>
      <c r="Y35" s="28"/>
      <c r="Z35" s="6" t="str">
        <f t="shared" si="0"/>
        <v>BLANK</v>
      </c>
      <c r="AB35" s="5" t="s">
        <v>485</v>
      </c>
      <c r="AC35" s="5"/>
      <c r="AD35" s="5"/>
      <c r="AE35" s="5"/>
      <c r="AF35" s="5"/>
      <c r="AG35" s="5"/>
      <c r="AH35" s="28"/>
      <c r="AI35" s="6" t="str">
        <f>IF(ISBLANK(AH35),IncompleteText,IF(AH35&gt;=100,OKText,ErrorText))</f>
        <v>BLANK</v>
      </c>
    </row>
    <row r="36" ht="14.25" customHeight="1" spans="19:35">
      <c r="S36" s="5" t="s">
        <v>486</v>
      </c>
      <c r="T36" s="5"/>
      <c r="U36" s="5"/>
      <c r="V36" s="5"/>
      <c r="W36" s="5"/>
      <c r="X36" s="5"/>
      <c r="Y36" s="28"/>
      <c r="Z36" s="6" t="str">
        <f t="shared" si="0"/>
        <v>BLANK</v>
      </c>
      <c r="AB36" s="5" t="s">
        <v>487</v>
      </c>
      <c r="AC36" s="5"/>
      <c r="AD36" s="5"/>
      <c r="AE36" s="5"/>
      <c r="AF36" s="5"/>
      <c r="AG36" s="5"/>
      <c r="AH36" s="28"/>
      <c r="AI36" s="6" t="str">
        <f>IF(ISBLANK(AH36),IncompleteText,IF(AH36,OKText,ErrorText))</f>
        <v>BLANK</v>
      </c>
    </row>
    <row r="37" spans="19:26">
      <c r="S37" s="5" t="s">
        <v>488</v>
      </c>
      <c r="T37" s="5"/>
      <c r="U37" s="5"/>
      <c r="V37" s="5"/>
      <c r="W37" s="5"/>
      <c r="X37" s="5"/>
      <c r="Y37" s="28"/>
      <c r="Z37" s="6" t="str">
        <f t="shared" si="0"/>
        <v>BLANK</v>
      </c>
    </row>
    <row r="38" spans="19:26">
      <c r="S38" s="5" t="s">
        <v>489</v>
      </c>
      <c r="T38" s="5"/>
      <c r="U38" s="5"/>
      <c r="V38" s="5"/>
      <c r="W38" s="5"/>
      <c r="X38" s="5"/>
      <c r="Y38" s="28"/>
      <c r="Z38" s="6" t="str">
        <f t="shared" si="0"/>
        <v>BLANK</v>
      </c>
    </row>
    <row r="39" spans="19:26">
      <c r="S39" s="5" t="s">
        <v>490</v>
      </c>
      <c r="T39" s="5"/>
      <c r="U39" s="5"/>
      <c r="V39" s="5"/>
      <c r="W39" s="5"/>
      <c r="X39" s="5"/>
      <c r="Y39" s="28"/>
      <c r="Z39" s="6" t="str">
        <f t="shared" si="0"/>
        <v>BLANK</v>
      </c>
    </row>
    <row r="40" spans="19:26">
      <c r="S40" s="5" t="s">
        <v>491</v>
      </c>
      <c r="T40" s="5"/>
      <c r="U40" s="5"/>
      <c r="V40" s="5"/>
      <c r="W40" s="5"/>
      <c r="X40" s="5"/>
      <c r="Y40" s="34">
        <f>Y35*Y37</f>
        <v>0</v>
      </c>
      <c r="Z40" s="6" t="str">
        <f>IF(OR(ISBLANK(Y35),ISBLANK(Y37)),IncompleteText,IF(Y40&lt;=60,OKText,ErrorText))</f>
        <v>BLANK</v>
      </c>
    </row>
  </sheetData>
  <sheetProtection algorithmName="SHA-512" hashValue="iRcnU9qd6jGVOs1skljf5Ewjj+0F9FgsJAJLQGe+ofjHVjJkOuogUuESOsPM+vp+uIyD0cHL7+gFW3I/c3nm4A==" saltValue="Nz2mcF/o6nNDFej45a5kmA==" spinCount="100000" sheet="1" selectLockedCells="1" insertHyperlinks="0" scenarios="1"/>
  <mergeCells count="55">
    <mergeCell ref="A2:E2"/>
    <mergeCell ref="G2:K2"/>
    <mergeCell ref="A3:C3"/>
    <mergeCell ref="D3:E3"/>
    <mergeCell ref="G3:I3"/>
    <mergeCell ref="J3:K3"/>
    <mergeCell ref="A4:C4"/>
    <mergeCell ref="D4:E4"/>
    <mergeCell ref="G4:I4"/>
    <mergeCell ref="J4:K4"/>
    <mergeCell ref="A5:C5"/>
    <mergeCell ref="D5:E5"/>
    <mergeCell ref="G5:I5"/>
    <mergeCell ref="J5:K5"/>
    <mergeCell ref="S8:Y8"/>
    <mergeCell ref="AK8:AQ8"/>
    <mergeCell ref="A28:G28"/>
    <mergeCell ref="J28:P28"/>
    <mergeCell ref="S28:Y28"/>
    <mergeCell ref="AB28:AH28"/>
    <mergeCell ref="A29:F29"/>
    <mergeCell ref="J29:O29"/>
    <mergeCell ref="S29:X29"/>
    <mergeCell ref="AB29:AG29"/>
    <mergeCell ref="A30:G30"/>
    <mergeCell ref="J30:P30"/>
    <mergeCell ref="S30:Y30"/>
    <mergeCell ref="AB30:AG30"/>
    <mergeCell ref="S31:X31"/>
    <mergeCell ref="AB31:AG31"/>
    <mergeCell ref="S32:X32"/>
    <mergeCell ref="AB32:AG32"/>
    <mergeCell ref="S33:X33"/>
    <mergeCell ref="AB33:AG33"/>
    <mergeCell ref="S34:X34"/>
    <mergeCell ref="AB34:AG34"/>
    <mergeCell ref="S35:X35"/>
    <mergeCell ref="AB35:AG35"/>
    <mergeCell ref="S36:X36"/>
    <mergeCell ref="AB36:AG36"/>
    <mergeCell ref="S37:X37"/>
    <mergeCell ref="S38:X38"/>
    <mergeCell ref="S39:X39"/>
    <mergeCell ref="S40:X40"/>
    <mergeCell ref="D6:D7"/>
    <mergeCell ref="E6:E7"/>
    <mergeCell ref="F6:F7"/>
    <mergeCell ref="AK9:AR27"/>
    <mergeCell ref="AB9:AI27"/>
    <mergeCell ref="S9:Z27"/>
    <mergeCell ref="J9:Q27"/>
    <mergeCell ref="J31:P34"/>
    <mergeCell ref="A31:G34"/>
    <mergeCell ref="A6:C7"/>
    <mergeCell ref="A9:H27"/>
  </mergeCells>
  <conditionalFormatting sqref="AB32:AI32">
    <cfRule type="expression" dxfId="3" priority="3">
      <formula>$AH$29="供应商提供 Suppliers"</formula>
    </cfRule>
  </conditionalFormatting>
  <conditionalFormatting sqref="S33:Z33">
    <cfRule type="expression" dxfId="4" priority="8">
      <formula>$Y$32&lt;&gt;"非锂电池 Not Li-ion"</formula>
    </cfRule>
  </conditionalFormatting>
  <conditionalFormatting sqref="AB9:AI36">
    <cfRule type="expression" dxfId="6" priority="1">
      <formula>$Y$32&lt;&gt;"其他锂电池 Other Li-ion"</formula>
    </cfRule>
  </conditionalFormatting>
  <conditionalFormatting sqref="AB30:AI31">
    <cfRule type="expression" dxfId="4" priority="4">
      <formula>$AH$29="车队自制 Team made"</formula>
    </cfRule>
  </conditionalFormatting>
  <dataValidations count="4">
    <dataValidation type="list" allowBlank="1" showInputMessage="1" showErrorMessage="1" sqref="G29 P29 Y29 AH36 AH32:AH33">
      <formula1>"TRUE,FALSE"</formula1>
    </dataValidation>
    <dataValidation type="list" allowBlank="1" showInputMessage="1" showErrorMessage="1" sqref="AH29">
      <formula1>"车队自制 Team made,供应商提供 Suppliers"</formula1>
    </dataValidation>
    <dataValidation type="list" allowBlank="1" showInputMessage="1" showErrorMessage="1" sqref="Y31">
      <formula1>"车队自制电池组 Team made,供应商提供 Supplier"</formula1>
    </dataValidation>
    <dataValidation type="list" allowBlank="1" showInputMessage="1" showErrorMessage="1" sqref="Y32">
      <formula1>"磷酸铁锂 LiFePO4,其他锂电池 Other Li-ion,非锂电池 Not Li-ion"</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
  <sheetViews>
    <sheetView workbookViewId="0">
      <selection activeCell="C5" sqref="C5"/>
    </sheetView>
  </sheetViews>
  <sheetFormatPr defaultColWidth="9" defaultRowHeight="14"/>
  <cols>
    <col min="1" max="1" width="15.875" customWidth="1"/>
    <col min="2" max="2" width="26.75" customWidth="1"/>
    <col min="3" max="3" width="69" customWidth="1"/>
    <col min="4" max="4" width="26.5" customWidth="1"/>
    <col min="5" max="5" width="11.5" style="4" customWidth="1"/>
    <col min="6" max="6" width="12.375" customWidth="1"/>
    <col min="7" max="7" width="19.875" customWidth="1"/>
    <col min="8" max="8" width="92.5" customWidth="1"/>
    <col min="9" max="9" width="18.875" customWidth="1"/>
    <col min="11" max="12" width="20" customWidth="1"/>
    <col min="13" max="13" width="56" customWidth="1"/>
    <col min="14" max="14" width="21.25" customWidth="1"/>
    <col min="15" max="15" width="29.5" customWidth="1"/>
  </cols>
  <sheetData>
    <row r="1" spans="1:2">
      <c r="A1" s="5" t="s">
        <v>23</v>
      </c>
      <c r="B1" s="6" t="str" cm="1">
        <f ca="1" t="array" ref="B1">IF(SUM(COUNTIF(INDIRECT({"$E$2","$I$2","$O$2"}),"="&amp;IncompleteText)),IncompleteText,IF(SUM(COUNTIF(INDIRECT({"$E$2","$I$2","$O$2"}),"="&amp;ErrorText)),ErrorText,OKText))</f>
        <v>BLANK</v>
      </c>
    </row>
    <row r="2" spans="1:15">
      <c r="A2" s="7" t="s">
        <v>492</v>
      </c>
      <c r="B2" s="7"/>
      <c r="C2" s="7"/>
      <c r="D2" s="7"/>
      <c r="E2" s="8" t="str">
        <f>IF(COUNTIF(E3:E12,"="&amp;IncompleteText),IncompleteText,IF(COUNTIF(E3:E12,"="&amp;ErrorText),ErrorText,OKText))</f>
        <v>BLANK</v>
      </c>
      <c r="G2" s="7" t="s">
        <v>493</v>
      </c>
      <c r="H2" s="7"/>
      <c r="I2" s="8" t="str">
        <f>IF(COUNTIF(I3:I14,"="&amp;IncompleteText),IncompleteText,IF(COUNTIF(I3:I14,"="&amp;ErrorText),ErrorText,OKText))</f>
        <v>BLANK</v>
      </c>
      <c r="K2" s="7" t="s">
        <v>494</v>
      </c>
      <c r="L2" s="7"/>
      <c r="M2" s="7"/>
      <c r="N2" s="7"/>
      <c r="O2" s="8" t="str">
        <f>IF(COUNTIF(O3:O14,"="&amp;IncompleteText),IncompleteText,IF(COUNTIF(O3:O14,"="&amp;ErrorText),ErrorText,OKText))</f>
        <v>BLANK</v>
      </c>
    </row>
    <row r="3" spans="1:15">
      <c r="A3" s="9" t="s">
        <v>495</v>
      </c>
      <c r="B3" s="9" t="s">
        <v>496</v>
      </c>
      <c r="C3" s="9" t="s">
        <v>497</v>
      </c>
      <c r="D3" s="9" t="s">
        <v>498</v>
      </c>
      <c r="G3" s="9" t="s">
        <v>495</v>
      </c>
      <c r="H3" s="9" t="s">
        <v>497</v>
      </c>
      <c r="I3" s="9"/>
      <c r="K3" s="9" t="s">
        <v>499</v>
      </c>
      <c r="L3" s="9" t="s">
        <v>500</v>
      </c>
      <c r="M3" s="9" t="s">
        <v>501</v>
      </c>
      <c r="N3" s="9"/>
      <c r="O3" s="9"/>
    </row>
    <row r="4" ht="212.25" customHeight="1" spans="1:15">
      <c r="A4" s="10" t="s">
        <v>502</v>
      </c>
      <c r="B4" s="10" t="s">
        <v>503</v>
      </c>
      <c r="C4" s="11" t="s">
        <v>504</v>
      </c>
      <c r="D4" s="12"/>
      <c r="E4" s="8" t="str" cm="1">
        <f t="array" ref="E4">IF(ISBLANK(D4),IncompleteText,IF(AND(C4,D4&gt;=0.1*FuseNoiCur),OKText,ErrorText))</f>
        <v>BLANK</v>
      </c>
      <c r="G4" s="11" t="s">
        <v>505</v>
      </c>
      <c r="H4" s="11" t="s">
        <v>506</v>
      </c>
      <c r="I4" s="8" t="str">
        <f>IF(ISERROR(IF(ISBLANK(G4),IncompleteText,IF(H4,OKText,IncompleteText))),IncompleteText,IF(ISBLANK(G4),IncompleteText,IF(H4,OKText,IncompleteText)))</f>
        <v>BLANK</v>
      </c>
      <c r="K4" s="12" t="s">
        <v>505</v>
      </c>
      <c r="L4" s="12"/>
      <c r="M4" s="11" t="s">
        <v>506</v>
      </c>
      <c r="N4" s="14" t="s">
        <v>507</v>
      </c>
      <c r="O4" s="8" t="str">
        <f>IF(ISERROR(IF(L4="导电",IF(ISBLANK(N4),IncompleteText,IF(AND(M4,N4&gt;=0.1*FuseNoiCur),OKText,ErrorText)),IF(M4,OKText,ErrorText))),IncompleteText,IF(L4="导电",IF(ISBLANK(N4),IncompleteText,IF(AND(M4,N4&gt;=0.1*FuseNoiCur),OKText,ErrorText)),IF(M4,OKText,ErrorText)))</f>
        <v>BLANK</v>
      </c>
    </row>
    <row r="5" ht="200.1" customHeight="1" spans="1:15">
      <c r="A5" s="13" t="s">
        <v>508</v>
      </c>
      <c r="B5" s="12"/>
      <c r="C5" s="11" t="s">
        <v>504</v>
      </c>
      <c r="D5" s="14" t="s">
        <v>507</v>
      </c>
      <c r="E5" s="8" t="str">
        <f>IF(ISERROR(IF(B5="导电",IF(ISBLANK(D5),IncompleteText,IF(AND(C5,D5&gt;=0.1*FuseNoiCur),OKText,ErrorText)),IF(C5,OKText,ErrorText))),IncompleteText,IF(B5="导电",IF(ISBLANK(D5),IncompleteText,IF(AND(C5,D5&gt;=0.1*FuseNoiCur),OKText,ErrorText)),IF(C5,OKText,ErrorText)))</f>
        <v>BLANK</v>
      </c>
      <c r="G5" s="12"/>
      <c r="H5" s="11" t="s">
        <v>504</v>
      </c>
      <c r="I5" s="8" t="str">
        <f t="shared" ref="I5:I14" si="0">IF(ISBLANK(G5),"",IF(H5,OKText,IncompleteText))</f>
        <v/>
      </c>
      <c r="K5" s="12"/>
      <c r="L5" s="12"/>
      <c r="M5" s="11" t="s">
        <v>504</v>
      </c>
      <c r="N5" s="14" t="s">
        <v>507</v>
      </c>
      <c r="O5" s="8" t="str">
        <f t="shared" ref="O5:O14" si="1">IF(ISERROR(IF(L5="导电",IF(ISBLANK(N5),IncompleteText,IF(AND(M5,N5&gt;=0.1*FuseNoiCur),OKText,ErrorText)),IF(M5,OKText,ErrorText))),"",IF(L5="导电",IF(ISBLANK(N5),IncompleteText,IF(AND(M5,N5&gt;=0.1*FuseNoiCur),OKText,ErrorText)),IF(M5,OKText,ErrorText)))</f>
        <v/>
      </c>
    </row>
    <row r="6" ht="200.1" customHeight="1" spans="1:15">
      <c r="A6" s="13" t="s">
        <v>509</v>
      </c>
      <c r="B6" s="10" t="s">
        <v>503</v>
      </c>
      <c r="C6" s="11" t="s">
        <v>504</v>
      </c>
      <c r="D6" s="12"/>
      <c r="E6" s="8" t="str" cm="1">
        <f t="array" ref="E6">IF(ISBLANK(D6),IncompleteText,IF(AND(C6,D6&gt;=0.1*FuseNoiCur),OKText,ErrorText))</f>
        <v>BLANK</v>
      </c>
      <c r="G6" s="12"/>
      <c r="H6" s="11" t="s">
        <v>504</v>
      </c>
      <c r="I6" s="8" t="str">
        <f t="shared" si="0"/>
        <v/>
      </c>
      <c r="K6" s="12"/>
      <c r="L6" s="12"/>
      <c r="M6" s="11" t="s">
        <v>504</v>
      </c>
      <c r="N6" s="14" t="s">
        <v>507</v>
      </c>
      <c r="O6" s="8" t="str">
        <f t="shared" si="1"/>
        <v/>
      </c>
    </row>
    <row r="7" ht="200.1" customHeight="1" spans="1:15">
      <c r="A7" s="13" t="s">
        <v>510</v>
      </c>
      <c r="B7" s="10" t="s">
        <v>503</v>
      </c>
      <c r="C7" s="11" t="s">
        <v>504</v>
      </c>
      <c r="D7" s="12"/>
      <c r="E7" s="8" t="str" cm="1">
        <f t="array" ref="E7">IF(ISBLANK(D7),IncompleteText,IF(AND(C7,D7&gt;=0.1*FuseNoiCur),OKText,ErrorText))</f>
        <v>BLANK</v>
      </c>
      <c r="G7" s="12"/>
      <c r="H7" s="11" t="s">
        <v>504</v>
      </c>
      <c r="I7" s="8" t="str">
        <f t="shared" si="0"/>
        <v/>
      </c>
      <c r="K7" s="12"/>
      <c r="L7" s="12"/>
      <c r="M7" s="11" t="s">
        <v>504</v>
      </c>
      <c r="N7" s="14" t="s">
        <v>507</v>
      </c>
      <c r="O7" s="8" t="str">
        <f t="shared" si="1"/>
        <v/>
      </c>
    </row>
    <row r="8" ht="200.1" customHeight="1" spans="1:15">
      <c r="A8" s="10" t="s">
        <v>511</v>
      </c>
      <c r="B8" s="10" t="s">
        <v>503</v>
      </c>
      <c r="C8" s="11" t="s">
        <v>504</v>
      </c>
      <c r="D8" s="12"/>
      <c r="E8" s="8" t="str" cm="1">
        <f t="array" ref="E8">IF(ISBLANK(D8),IncompleteText,IF(AND(C8,D8&gt;=0.1*FuseNoiCur),OKText,ErrorText))</f>
        <v>BLANK</v>
      </c>
      <c r="G8" s="12"/>
      <c r="H8" s="11" t="s">
        <v>504</v>
      </c>
      <c r="I8" s="8" t="str">
        <f t="shared" si="0"/>
        <v/>
      </c>
      <c r="K8" s="12"/>
      <c r="L8" s="12"/>
      <c r="M8" s="11" t="s">
        <v>504</v>
      </c>
      <c r="N8" s="14" t="s">
        <v>507</v>
      </c>
      <c r="O8" s="8" t="str">
        <f t="shared" si="1"/>
        <v/>
      </c>
    </row>
    <row r="9" ht="200.1" customHeight="1" spans="1:15">
      <c r="A9" s="13" t="s">
        <v>512</v>
      </c>
      <c r="B9" s="12"/>
      <c r="C9" s="11" t="s">
        <v>504</v>
      </c>
      <c r="D9" s="12"/>
      <c r="E9" s="8" t="str">
        <f>IF(ISERROR(IF(B9="导电",IF(ISBLANK(D9),IncompleteText,IF(AND(C9,D9&gt;=0.1*FuseNoiCur),OKText,ErrorText)),IF(C9,OKText,ErrorText))),IncompleteText,IF(B9="导电",IF(ISBLANK(D9),IncompleteText,IF(AND(C9,D9&gt;=0.1*FuseNoiCur),OKText,ErrorText)),IF(C9,OKText,ErrorText)))</f>
        <v>BLANK</v>
      </c>
      <c r="G9" s="12"/>
      <c r="H9" s="11" t="s">
        <v>504</v>
      </c>
      <c r="I9" s="8" t="str">
        <f t="shared" si="0"/>
        <v/>
      </c>
      <c r="K9" s="12"/>
      <c r="L9" s="12"/>
      <c r="M9" s="11" t="s">
        <v>504</v>
      </c>
      <c r="N9" s="14" t="s">
        <v>507</v>
      </c>
      <c r="O9" s="8" t="str">
        <f t="shared" si="1"/>
        <v/>
      </c>
    </row>
    <row r="10" ht="200.1" customHeight="1" spans="1:15">
      <c r="A10" s="13" t="s">
        <v>513</v>
      </c>
      <c r="B10" s="12"/>
      <c r="C10" s="11" t="s">
        <v>504</v>
      </c>
      <c r="D10" s="12"/>
      <c r="E10" s="8" t="str">
        <f>IF(ISERROR(IF(B10="导电",IF(ISBLANK(D10),IncompleteText,IF(AND(C10,D10&gt;=0.1*FuseNoiCur),OKText,ErrorText)),IF(C10,OKText,ErrorText))),IncompleteText,IF(B10="导电",IF(ISBLANK(D10),IncompleteText,IF(AND(C10,D10&gt;=0.1*FuseNoiCur),OKText,ErrorText)),IF(C10,OKText,ErrorText)))</f>
        <v>BLANK</v>
      </c>
      <c r="G10" s="12"/>
      <c r="H10" s="11" t="s">
        <v>504</v>
      </c>
      <c r="I10" s="8" t="str">
        <f t="shared" si="0"/>
        <v/>
      </c>
      <c r="K10" s="12"/>
      <c r="L10" s="12"/>
      <c r="M10" s="11" t="s">
        <v>504</v>
      </c>
      <c r="N10" s="14" t="s">
        <v>507</v>
      </c>
      <c r="O10" s="8" t="str">
        <f t="shared" si="1"/>
        <v/>
      </c>
    </row>
    <row r="11" ht="200.1" customHeight="1" spans="1:15">
      <c r="A11" s="13" t="s">
        <v>6</v>
      </c>
      <c r="B11" s="12"/>
      <c r="C11" s="11" t="s">
        <v>504</v>
      </c>
      <c r="D11" s="12"/>
      <c r="E11" s="8" t="str">
        <f>IF(ISERROR(IF(B11="导电",IF(ISBLANK(D11),IncompleteText,IF(AND(C11,D11&gt;=0.1*FuseNoiCur),OKText,ErrorText)),IF(C11,OKText,ErrorText))),IncompleteText,IF(B11="导电",IF(ISBLANK(D11),IncompleteText,IF(AND(C11,D11&gt;=0.1*FuseNoiCur),OKText,ErrorText)),IF(C11,OKText,ErrorText)))</f>
        <v>BLANK</v>
      </c>
      <c r="G11" s="12"/>
      <c r="H11" s="11" t="s">
        <v>504</v>
      </c>
      <c r="I11" s="8" t="str">
        <f t="shared" si="0"/>
        <v/>
      </c>
      <c r="K11" s="12"/>
      <c r="L11" s="12"/>
      <c r="M11" s="11" t="s">
        <v>504</v>
      </c>
      <c r="N11" s="14" t="s">
        <v>507</v>
      </c>
      <c r="O11" s="8" t="str">
        <f t="shared" si="1"/>
        <v/>
      </c>
    </row>
    <row r="12" ht="200.1" customHeight="1" spans="1:15">
      <c r="A12" s="13" t="s">
        <v>514</v>
      </c>
      <c r="B12" s="12"/>
      <c r="C12" s="11" t="s">
        <v>504</v>
      </c>
      <c r="D12" s="12"/>
      <c r="E12" s="8" t="str">
        <f>IF(ISERROR(IF(B12="导电",IF(ISBLANK(D12),IncompleteText,IF(AND(C12,D12&gt;=0.1*FuseNoiCur),OKText,ErrorText)),IF(C12,OKText,ErrorText))),IncompleteText,IF(B12="导电",IF(ISBLANK(D12),IncompleteText,IF(AND(C12,D12&gt;=0.1*FuseNoiCur),OKText,ErrorText)),IF(C12,OKText,ErrorText)))</f>
        <v>BLANK</v>
      </c>
      <c r="G12" s="12"/>
      <c r="H12" s="11" t="s">
        <v>504</v>
      </c>
      <c r="I12" s="8" t="str">
        <f t="shared" si="0"/>
        <v/>
      </c>
      <c r="K12" s="12"/>
      <c r="L12" s="12"/>
      <c r="M12" s="11" t="s">
        <v>504</v>
      </c>
      <c r="N12" s="14" t="s">
        <v>507</v>
      </c>
      <c r="O12" s="8" t="str">
        <f t="shared" si="1"/>
        <v/>
      </c>
    </row>
    <row r="13" ht="200.1" customHeight="1" spans="7:15">
      <c r="G13" s="12"/>
      <c r="H13" s="11" t="s">
        <v>504</v>
      </c>
      <c r="I13" s="8" t="str">
        <f t="shared" si="0"/>
        <v/>
      </c>
      <c r="K13" s="12"/>
      <c r="L13" s="12"/>
      <c r="M13" s="11" t="s">
        <v>504</v>
      </c>
      <c r="N13" s="14" t="s">
        <v>507</v>
      </c>
      <c r="O13" s="8" t="str">
        <f t="shared" si="1"/>
        <v/>
      </c>
    </row>
    <row r="14" ht="200.1" customHeight="1" spans="7:15">
      <c r="G14" s="12"/>
      <c r="H14" s="11" t="s">
        <v>504</v>
      </c>
      <c r="I14" s="8" t="str">
        <f t="shared" si="0"/>
        <v/>
      </c>
      <c r="K14" s="12"/>
      <c r="L14" s="12"/>
      <c r="M14" s="11" t="s">
        <v>504</v>
      </c>
      <c r="N14" s="14" t="s">
        <v>507</v>
      </c>
      <c r="O14" s="8" t="str">
        <f t="shared" si="1"/>
        <v/>
      </c>
    </row>
    <row r="15" ht="200.1" customHeight="1"/>
    <row r="16" ht="200.1" customHeight="1"/>
    <row r="17" ht="200.1" customHeight="1"/>
    <row r="18" ht="200.1" customHeight="1"/>
    <row r="19" ht="200.1" customHeight="1"/>
    <row r="20" ht="200.1" customHeight="1"/>
    <row r="21" ht="200.1" customHeight="1"/>
    <row r="22" ht="200.1" customHeight="1"/>
    <row r="23" ht="200.1" customHeight="1"/>
  </sheetData>
  <sheetProtection algorithmName="SHA-512" hashValue="2hWddY77DMitrrrx3/Zj7ctno0PPfVPcp+LYGpxWMbldHlQ3Vua+/c6NA/08QEht/27O6mUkOwGttrluqzOWQw==" saltValue="ZBApEXLEP+9zXHgIDhBP1g==" spinCount="100000" sheet="1" selectLockedCells="1" insertHyperlinks="0" scenarios="1"/>
  <mergeCells count="3">
    <mergeCell ref="A2:D2"/>
    <mergeCell ref="G2:H2"/>
    <mergeCell ref="K2:M2"/>
  </mergeCells>
  <dataValidations count="1">
    <dataValidation type="list" allowBlank="1" showInputMessage="1" showErrorMessage="1" sqref="B5 B9:B12 L4:L14">
      <formula1>"导电 Conductive,可能导电 Maybe conductive,绝缘 Isolated"</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20" sqref="C20"/>
    </sheetView>
  </sheetViews>
  <sheetFormatPr defaultColWidth="9" defaultRowHeight="14" outlineLevelRow="3" outlineLevelCol="3"/>
  <cols>
    <col min="1" max="1" width="47.75" customWidth="1"/>
    <col min="2" max="2" width="16.25" customWidth="1"/>
    <col min="3" max="3" width="16" customWidth="1"/>
    <col min="4" max="4" width="10" customWidth="1"/>
  </cols>
  <sheetData>
    <row r="1" spans="1:4">
      <c r="A1" s="1" t="s">
        <v>515</v>
      </c>
      <c r="B1" s="1" t="s">
        <v>516</v>
      </c>
      <c r="C1" s="1" t="s">
        <v>517</v>
      </c>
      <c r="D1" s="1" t="s">
        <v>518</v>
      </c>
    </row>
    <row r="2" spans="1:4">
      <c r="A2" s="2" t="s">
        <v>519</v>
      </c>
      <c r="B2" s="2" t="s">
        <v>520</v>
      </c>
      <c r="C2" s="2" t="s">
        <v>521</v>
      </c>
      <c r="D2" s="3">
        <v>45047</v>
      </c>
    </row>
    <row r="3" spans="1:4">
      <c r="A3" s="2" t="s">
        <v>522</v>
      </c>
      <c r="B3" s="2" t="s">
        <v>523</v>
      </c>
      <c r="C3" s="2" t="s">
        <v>524</v>
      </c>
      <c r="D3" s="3">
        <v>45056</v>
      </c>
    </row>
    <row r="4" spans="1:4">
      <c r="A4" s="2" t="s">
        <v>525</v>
      </c>
      <c r="B4" s="2" t="s">
        <v>526</v>
      </c>
      <c r="C4" s="2" t="s">
        <v>527</v>
      </c>
      <c r="D4" s="3">
        <v>45449</v>
      </c>
    </row>
  </sheetData>
  <sheetProtection algorithmName="SHA-512" hashValue="O5V06tMEKkre2GnvaqIfLGPHRBVo23PZmnHm1R3SEmWCYJhGGHQZPGrdfnzOenMJOuMKqqFAFWmHa9yhxla9QQ==" saltValue="EX3YTGs6ZiSkomJ2KKnBxg==" spinCount="100000" sheet="1" selectLockedCells="1" selectUnlockedCells="1" objects="1" scenarios="1"/>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AC1" rangeCreator="" othersAccessPermission="edit"/>
  </rangeList>
  <rangeList sheetStid="2" master="">
    <arrUserId title="dat2" rangeCreator="" othersAccessPermission="edit"/>
    <arrUserId title="data1" rangeCreator="" othersAccessPermission="edit"/>
  </rangeList>
  <rangeList sheetStid="3" master=""/>
  <rangeList sheetStid="4" master=""/>
  <rangeList sheetStid="5" master=""/>
  <rangeList sheetStid="6" master=""/>
  <rangeList sheetStid="7" master=""/>
  <rangeList sheetStid="8" master=""/>
  <rangeList sheetStid="9" master=""/>
  <rangeList sheetStid="10" master=""/>
  <rangeList sheetStid="11"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总览 Overview</vt:lpstr>
      <vt:lpstr>规格书 Datasheet</vt:lpstr>
      <vt:lpstr>驱动系统原理图 TS Schematics</vt:lpstr>
      <vt:lpstr>电池箱 Accumulator</vt:lpstr>
      <vt:lpstr>预充电放电 PrechargeDischarge</vt:lpstr>
      <vt:lpstr>充电 Charging</vt:lpstr>
      <vt:lpstr>安全系统 Shutdown circuit</vt:lpstr>
      <vt:lpstr>扭矩指令 Torque Security</vt:lpstr>
      <vt:lpstr>其他 Others</vt:lpstr>
      <vt:lpstr>接地 Grounding</vt:lpstr>
      <vt:lpstr>修订历史 Revision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YIKAI ZENG</dc:creator>
  <cp:lastModifiedBy>w</cp:lastModifiedBy>
  <dcterms:created xsi:type="dcterms:W3CDTF">2015-06-05T18:19:00Z</dcterms:created>
  <dcterms:modified xsi:type="dcterms:W3CDTF">2024-07-12T13:22:10Z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B82E1DA4E41041498F309626BC260C0E_13</vt:lpwstr>
  </property>
  <property fmtid="{D5CDD505-2E9C-101B-9397-08002B2CF9AE}" pid="3" name="KSOProductBuildVer">
    <vt:lpwstr>2052-12.1.0.16929</vt:lpwstr>
  </property>
</Properties>
</file>